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f58744794276af/1 Ano/Optimização para ciência de dados/Trabalho/"/>
    </mc:Choice>
  </mc:AlternateContent>
  <xr:revisionPtr revIDLastSave="2705" documentId="13_ncr:1_{052F1BFA-5415-49B6-9CB4-B97084EBAFD4}" xr6:coauthVersionLast="47" xr6:coauthVersionMax="47" xr10:uidLastSave="{44203BAB-1471-4745-B89D-DB026DE31E35}"/>
  <bookViews>
    <workbookView xWindow="-108" yWindow="-108" windowWidth="23256" windowHeight="12576" firstSheet="1" activeTab="4" xr2:uid="{15AA816A-0DAA-41DF-A022-706886181E16}"/>
  </bookViews>
  <sheets>
    <sheet name="Relatório de Resposta" sheetId="10" r:id="rId1"/>
    <sheet name="Relatório de Sensibilidade" sheetId="11" r:id="rId2"/>
    <sheet name="Modelo" sheetId="9" r:id="rId3"/>
    <sheet name="Detalhes sobre o plano ótimo" sheetId="13" r:id="rId4"/>
    <sheet name="Estudo de rendimento " sheetId="14" r:id="rId5"/>
    <sheet name="Proposta de alteração" sheetId="17" r:id="rId6"/>
    <sheet name="Plano ótimo da alteração" sheetId="18" r:id="rId7"/>
  </sheets>
  <definedNames>
    <definedName name="solver_adj" localSheetId="2" hidden="1">Modelo!$C$24:$L$24</definedName>
    <definedName name="solver_adj" localSheetId="5" hidden="1">'Proposta de alteração'!$C$26:$N$26</definedName>
    <definedName name="solver_cvg" localSheetId="2" hidden="1">0.0001</definedName>
    <definedName name="solver_cvg" localSheetId="5" hidden="1">0.0001</definedName>
    <definedName name="solver_drv" localSheetId="2" hidden="1">1</definedName>
    <definedName name="solver_drv" localSheetId="5" hidden="1">1</definedName>
    <definedName name="solver_eng" localSheetId="2" hidden="1">2</definedName>
    <definedName name="solver_eng" localSheetId="5" hidden="1">2</definedName>
    <definedName name="solver_est" localSheetId="2" hidden="1">1</definedName>
    <definedName name="solver_est" localSheetId="5" hidden="1">1</definedName>
    <definedName name="solver_itr" localSheetId="2" hidden="1">2147483647</definedName>
    <definedName name="solver_itr" localSheetId="5" hidden="1">2147483647</definedName>
    <definedName name="solver_lhs1" localSheetId="2" hidden="1">Modelo!$M$29:$M$31</definedName>
    <definedName name="solver_lhs1" localSheetId="5" hidden="1">'Proposta de alteração'!$O$31:$O$33</definedName>
    <definedName name="solver_lhs2" localSheetId="2" hidden="1">Modelo!$M$32:$M$35</definedName>
    <definedName name="solver_lhs2" localSheetId="5" hidden="1">'Proposta de alteração'!$O$34:$O$37</definedName>
    <definedName name="solver_mip" localSheetId="2" hidden="1">2147483647</definedName>
    <definedName name="solver_mip" localSheetId="5" hidden="1">2147483647</definedName>
    <definedName name="solver_mni" localSheetId="2" hidden="1">30</definedName>
    <definedName name="solver_mni" localSheetId="5" hidden="1">30</definedName>
    <definedName name="solver_mrt" localSheetId="2" hidden="1">0.075</definedName>
    <definedName name="solver_mrt" localSheetId="5" hidden="1">0.075</definedName>
    <definedName name="solver_msl" localSheetId="2" hidden="1">2</definedName>
    <definedName name="solver_msl" localSheetId="5" hidden="1">2</definedName>
    <definedName name="solver_neg" localSheetId="2" hidden="1">1</definedName>
    <definedName name="solver_neg" localSheetId="5" hidden="1">1</definedName>
    <definedName name="solver_nod" localSheetId="2" hidden="1">2147483647</definedName>
    <definedName name="solver_nod" localSheetId="5" hidden="1">2147483647</definedName>
    <definedName name="solver_num" localSheetId="2" hidden="1">2</definedName>
    <definedName name="solver_num" localSheetId="5" hidden="1">2</definedName>
    <definedName name="solver_nwt" localSheetId="2" hidden="1">1</definedName>
    <definedName name="solver_nwt" localSheetId="5" hidden="1">1</definedName>
    <definedName name="solver_opt" localSheetId="2" hidden="1">Modelo!$M$26</definedName>
    <definedName name="solver_opt" localSheetId="5" hidden="1">'Proposta de alteração'!$O$28</definedName>
    <definedName name="solver_pre" localSheetId="2" hidden="1">0.000001</definedName>
    <definedName name="solver_pre" localSheetId="5" hidden="1">0.000001</definedName>
    <definedName name="solver_rbv" localSheetId="2" hidden="1">1</definedName>
    <definedName name="solver_rbv" localSheetId="5" hidden="1">1</definedName>
    <definedName name="solver_rel1" localSheetId="2" hidden="1">2</definedName>
    <definedName name="solver_rel1" localSheetId="5" hidden="1">2</definedName>
    <definedName name="solver_rel2" localSheetId="2" hidden="1">1</definedName>
    <definedName name="solver_rel2" localSheetId="5" hidden="1">1</definedName>
    <definedName name="solver_rhs1" localSheetId="2" hidden="1">Modelo!$O$29:$O$31</definedName>
    <definedName name="solver_rhs1" localSheetId="5" hidden="1">'Proposta de alteração'!$Q$31:$Q$33</definedName>
    <definedName name="solver_rhs2" localSheetId="2" hidden="1">Modelo!$O$32:$O$35</definedName>
    <definedName name="solver_rhs2" localSheetId="5" hidden="1">'Proposta de alteração'!$Q$34:$Q$37</definedName>
    <definedName name="solver_rlx" localSheetId="2" hidden="1">2</definedName>
    <definedName name="solver_rlx" localSheetId="5" hidden="1">2</definedName>
    <definedName name="solver_rsd" localSheetId="2" hidden="1">0</definedName>
    <definedName name="solver_rsd" localSheetId="5" hidden="1">0</definedName>
    <definedName name="solver_scl" localSheetId="2" hidden="1">1</definedName>
    <definedName name="solver_scl" localSheetId="5" hidden="1">1</definedName>
    <definedName name="solver_sho" localSheetId="2" hidden="1">2</definedName>
    <definedName name="solver_sho" localSheetId="5" hidden="1">2</definedName>
    <definedName name="solver_ssz" localSheetId="2" hidden="1">100</definedName>
    <definedName name="solver_ssz" localSheetId="5" hidden="1">100</definedName>
    <definedName name="solver_tim" localSheetId="2" hidden="1">2147483647</definedName>
    <definedName name="solver_tim" localSheetId="5" hidden="1">2147483647</definedName>
    <definedName name="solver_tol" localSheetId="2" hidden="1">0.01</definedName>
    <definedName name="solver_tol" localSheetId="5" hidden="1">0.01</definedName>
    <definedName name="solver_typ" localSheetId="2" hidden="1">2</definedName>
    <definedName name="solver_typ" localSheetId="5" hidden="1">2</definedName>
    <definedName name="solver_val" localSheetId="2" hidden="1">0</definedName>
    <definedName name="solver_val" localSheetId="5" hidden="1">0</definedName>
    <definedName name="solver_ver" localSheetId="2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8" l="1"/>
  <c r="E14" i="18"/>
  <c r="C17" i="18"/>
  <c r="D17" i="18"/>
  <c r="B17" i="18"/>
  <c r="C16" i="18"/>
  <c r="D16" i="18"/>
  <c r="B16" i="18"/>
  <c r="C15" i="18"/>
  <c r="D15" i="18"/>
  <c r="B15" i="18"/>
  <c r="C14" i="18"/>
  <c r="D14" i="18"/>
  <c r="B14" i="18"/>
  <c r="B21" i="18"/>
  <c r="A21" i="18"/>
  <c r="E16" i="18"/>
  <c r="M26" i="9"/>
  <c r="O28" i="17"/>
  <c r="O35" i="17"/>
  <c r="O36" i="17"/>
  <c r="O37" i="17"/>
  <c r="O34" i="17"/>
  <c r="O32" i="17"/>
  <c r="O33" i="17"/>
  <c r="O31" i="17"/>
  <c r="N33" i="17"/>
  <c r="K33" i="17"/>
  <c r="H33" i="17"/>
  <c r="E33" i="17"/>
  <c r="M32" i="17"/>
  <c r="J32" i="17"/>
  <c r="G32" i="17"/>
  <c r="D32" i="17"/>
  <c r="L31" i="17"/>
  <c r="I31" i="17"/>
  <c r="F31" i="17"/>
  <c r="C31" i="17"/>
  <c r="C28" i="17" a="1"/>
  <c r="C28" i="17" s="1"/>
  <c r="C27" i="17" a="1"/>
  <c r="C27" i="17" s="1"/>
  <c r="B21" i="13"/>
  <c r="A21" i="13"/>
  <c r="C17" i="13"/>
  <c r="B17" i="13"/>
  <c r="C16" i="13"/>
  <c r="D16" i="13"/>
  <c r="B16" i="13"/>
  <c r="C15" i="13"/>
  <c r="D15" i="13"/>
  <c r="B15" i="13"/>
  <c r="C14" i="13"/>
  <c r="B14" i="13"/>
  <c r="C26" i="9" a="1"/>
  <c r="C26" i="9" s="1"/>
  <c r="M33" i="9"/>
  <c r="M34" i="9"/>
  <c r="M35" i="9"/>
  <c r="M32" i="9"/>
  <c r="M31" i="9"/>
  <c r="M29" i="9"/>
  <c r="D30" i="9"/>
  <c r="J31" i="9"/>
  <c r="G31" i="9"/>
  <c r="L30" i="9"/>
  <c r="I30" i="9"/>
  <c r="F30" i="9"/>
  <c r="M30" i="9" s="1"/>
  <c r="K29" i="9"/>
  <c r="H29" i="9"/>
  <c r="E29" i="9"/>
  <c r="C29" i="9"/>
  <c r="C25" i="9" a="1"/>
  <c r="C25" i="9" s="1"/>
  <c r="E15" i="18" l="1"/>
  <c r="C21" i="18"/>
  <c r="E17" i="13"/>
  <c r="E14" i="13"/>
  <c r="E15" i="13"/>
  <c r="C21" i="13"/>
  <c r="E1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<sst xmlns="http://schemas.openxmlformats.org/spreadsheetml/2006/main" count="363" uniqueCount="146">
  <si>
    <t>Cartão</t>
  </si>
  <si>
    <t>Papel Kraft</t>
  </si>
  <si>
    <t>Papel de embrulho</t>
  </si>
  <si>
    <t>Papel de impressão</t>
  </si>
  <si>
    <t>Custo transformação (Euros)</t>
  </si>
  <si>
    <t>Cell</t>
  </si>
  <si>
    <t>Name</t>
  </si>
  <si>
    <t>Cell Value</t>
  </si>
  <si>
    <t>Formula</t>
  </si>
  <si>
    <t>Status</t>
  </si>
  <si>
    <t>Slack</t>
  </si>
  <si>
    <t>Binding</t>
  </si>
  <si>
    <t>Microsoft Excel 16.0 Answer Report</t>
  </si>
  <si>
    <t>Result: Solver found a solution.  All Constraints and optimality conditions are satisfied.</t>
  </si>
  <si>
    <t>Solver Engine</t>
  </si>
  <si>
    <t>Engine: Simplex LP</t>
  </si>
  <si>
    <t>Solver Options</t>
  </si>
  <si>
    <t>Max Time Unlimited,  Iterations Unlimited, Precision 0,000001, Use Automatic Scaling</t>
  </si>
  <si>
    <t>Max Subproblems Unlimited, Max Integer Sols Unlimited, Integer Tolerance 1%, Assume NonNegative</t>
  </si>
  <si>
    <t>Objective Cell (Min)</t>
  </si>
  <si>
    <t>Original Value</t>
  </si>
  <si>
    <t>Final Value</t>
  </si>
  <si>
    <t>Variable Cells</t>
  </si>
  <si>
    <t>Integer</t>
  </si>
  <si>
    <t>Constraints</t>
  </si>
  <si>
    <t>Contin</t>
  </si>
  <si>
    <t>Not Binding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</si>
  <si>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</si>
  <si>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</si>
  <si>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</si>
  <si>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</si>
  <si>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</si>
  <si>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</si>
  <si>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</si>
  <si>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</si>
  <si>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</si>
  <si>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</si>
  <si>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</si>
  <si>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</si>
  <si>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</si>
  <si>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</si>
  <si>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Iterations: 8 Subproblems: 0</t>
  </si>
  <si>
    <t>$F$24</t>
  </si>
  <si>
    <t>Legenda:</t>
  </si>
  <si>
    <t>K</t>
  </si>
  <si>
    <t>E</t>
  </si>
  <si>
    <t>I</t>
  </si>
  <si>
    <t>J</t>
  </si>
  <si>
    <t>P.M</t>
  </si>
  <si>
    <t>P.E</t>
  </si>
  <si>
    <t>C</t>
  </si>
  <si>
    <t xml:space="preserve">Jornal </t>
  </si>
  <si>
    <t>Papel misto</t>
  </si>
  <si>
    <t>Papel de escritório</t>
  </si>
  <si>
    <t>Transformação</t>
  </si>
  <si>
    <t>x11</t>
  </si>
  <si>
    <t>x12</t>
  </si>
  <si>
    <t>x21</t>
  </si>
  <si>
    <t>x22</t>
  </si>
  <si>
    <t>x23</t>
  </si>
  <si>
    <t>x31</t>
  </si>
  <si>
    <t>x32</t>
  </si>
  <si>
    <t>x33</t>
  </si>
  <si>
    <t>x41</t>
  </si>
  <si>
    <t>x42</t>
  </si>
  <si>
    <t>Toneladas</t>
  </si>
  <si>
    <t>J - K</t>
  </si>
  <si>
    <t>J - E</t>
  </si>
  <si>
    <t>P.M - K</t>
  </si>
  <si>
    <t>P.M - E</t>
  </si>
  <si>
    <t>P.M - I</t>
  </si>
  <si>
    <t>P.E - K</t>
  </si>
  <si>
    <t>P.E - E</t>
  </si>
  <si>
    <t>P.E - I</t>
  </si>
  <si>
    <t>C - K</t>
  </si>
  <si>
    <t>C - E</t>
  </si>
  <si>
    <t>Custo Compra</t>
  </si>
  <si>
    <t>Custo Compra (Euros)</t>
  </si>
  <si>
    <t>J -E</t>
  </si>
  <si>
    <t>Custo Transformação</t>
  </si>
  <si>
    <t>CUSTO TOTAL</t>
  </si>
  <si>
    <t>Restrições:</t>
  </si>
  <si>
    <t>Min</t>
  </si>
  <si>
    <t xml:space="preserve">Rendimento </t>
  </si>
  <si>
    <t>Encomenda K</t>
  </si>
  <si>
    <t>Encomenda E</t>
  </si>
  <si>
    <t>Encomenda I</t>
  </si>
  <si>
    <t>Disponibilidade J</t>
  </si>
  <si>
    <t>Disponibilidade P.M</t>
  </si>
  <si>
    <t>Disponibilidade P.E</t>
  </si>
  <si>
    <t>Disponibilidade C</t>
  </si>
  <si>
    <t>&lt;=</t>
  </si>
  <si>
    <t>=</t>
  </si>
  <si>
    <t>Worksheet: [Trabalho OCD.xlsx]Sheet1</t>
  </si>
  <si>
    <t>Report Created: 13/05/2023 19:04:50</t>
  </si>
  <si>
    <t>Solution Time: 0,046 Seconds.</t>
  </si>
  <si>
    <t>$M$26</t>
  </si>
  <si>
    <t>$C$24</t>
  </si>
  <si>
    <t>Toneladas x11</t>
  </si>
  <si>
    <t>$D$24</t>
  </si>
  <si>
    <t>Toneladas x12</t>
  </si>
  <si>
    <t>$E$24</t>
  </si>
  <si>
    <t>Toneladas x21</t>
  </si>
  <si>
    <t>Toneladas x22</t>
  </si>
  <si>
    <t>$G$24</t>
  </si>
  <si>
    <t>Toneladas x23</t>
  </si>
  <si>
    <t>$H$24</t>
  </si>
  <si>
    <t>Toneladas x31</t>
  </si>
  <si>
    <t>$I$24</t>
  </si>
  <si>
    <t>Toneladas x32</t>
  </si>
  <si>
    <t>$J$24</t>
  </si>
  <si>
    <t>Toneladas x33</t>
  </si>
  <si>
    <t>$K$24</t>
  </si>
  <si>
    <t>Toneladas x41</t>
  </si>
  <si>
    <t>$L$24</t>
  </si>
  <si>
    <t>Toneladas x42</t>
  </si>
  <si>
    <t>$M$29</t>
  </si>
  <si>
    <t>$M$29=$O$29</t>
  </si>
  <si>
    <t>$M$30</t>
  </si>
  <si>
    <t>$M$30=$O$30</t>
  </si>
  <si>
    <t>$M$31</t>
  </si>
  <si>
    <t>$M$31=$O$31</t>
  </si>
  <si>
    <t>$M$32</t>
  </si>
  <si>
    <t>$M$32&lt;=$O$32</t>
  </si>
  <si>
    <t>$M$33</t>
  </si>
  <si>
    <t>$M$33&lt;=$O$33</t>
  </si>
  <si>
    <t>$M$34</t>
  </si>
  <si>
    <t>$M$34&lt;=$O$34</t>
  </si>
  <si>
    <t>$M$35</t>
  </si>
  <si>
    <t>$M$35&lt;=$O$35</t>
  </si>
  <si>
    <t xml:space="preserve">Transformação  </t>
  </si>
  <si>
    <t>Material usado</t>
  </si>
  <si>
    <t>Tipo de papel produzido</t>
  </si>
  <si>
    <t>-</t>
  </si>
  <si>
    <t>Total</t>
  </si>
  <si>
    <t>Custo compra</t>
  </si>
  <si>
    <t>Custo produção</t>
  </si>
  <si>
    <t>Estudo de rendimento: papel de embrulho a partir do papel misto</t>
  </si>
  <si>
    <t>Rendimento (%)</t>
  </si>
  <si>
    <t>Custo total (€)</t>
  </si>
  <si>
    <t>Produção ótima (em toneladas):</t>
  </si>
  <si>
    <t>Custo ótimo (€):</t>
  </si>
  <si>
    <t>J - I</t>
  </si>
  <si>
    <t>C - I</t>
  </si>
  <si>
    <t>x13</t>
  </si>
  <si>
    <t>x43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</si>
</sst>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1"/>
      <color rgb="FF00B0F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DCB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7" xfId="0" applyFont="1" applyBorder="1"/>
    <xf numFmtId="0" fontId="0" fillId="0" borderId="8" xfId="0" applyBorder="1"/>
    <xf numFmtId="0" fontId="0" fillId="0" borderId="7" xfId="0" applyBorder="1"/>
    <xf numFmtId="0" fontId="0" fillId="3" borderId="11" xfId="0" applyFill="1" applyBorder="1"/>
    <xf numFmtId="0" fontId="0" fillId="3" borderId="9" xfId="0" applyFill="1" applyBorder="1"/>
    <xf numFmtId="0" fontId="0" fillId="4" borderId="11" xfId="0" applyFill="1" applyBorder="1"/>
    <xf numFmtId="0" fontId="0" fillId="4" borderId="9" xfId="0" applyFill="1" applyBorder="1"/>
    <xf numFmtId="0" fontId="1" fillId="3" borderId="8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1" fillId="0" borderId="8" xfId="0" applyFont="1" applyBorder="1"/>
    <xf numFmtId="0" fontId="1" fillId="2" borderId="13" xfId="0" applyFont="1" applyFill="1" applyBorder="1"/>
    <xf numFmtId="0" fontId="1" fillId="2" borderId="12" xfId="0" applyFont="1" applyFill="1" applyBorder="1"/>
    <xf numFmtId="0" fontId="1" fillId="3" borderId="9" xfId="0" applyFont="1" applyFill="1" applyBorder="1"/>
    <xf numFmtId="0" fontId="1" fillId="5" borderId="0" xfId="0" applyFont="1" applyFill="1"/>
    <xf numFmtId="0" fontId="0" fillId="9" borderId="0" xfId="0" applyFill="1"/>
    <xf numFmtId="0" fontId="0" fillId="6" borderId="8" xfId="0" applyFill="1" applyBorder="1"/>
    <xf numFmtId="0" fontId="0" fillId="6" borderId="14" xfId="0" applyFill="1" applyBorder="1"/>
    <xf numFmtId="0" fontId="1" fillId="6" borderId="11" xfId="0" applyFont="1" applyFill="1" applyBorder="1"/>
    <xf numFmtId="0" fontId="1" fillId="6" borderId="9" xfId="0" applyFont="1" applyFill="1" applyBorder="1"/>
    <xf numFmtId="0" fontId="0" fillId="6" borderId="11" xfId="0" applyFill="1" applyBorder="1"/>
    <xf numFmtId="0" fontId="0" fillId="6" borderId="9" xfId="0" applyFill="1" applyBorder="1"/>
    <xf numFmtId="0" fontId="1" fillId="6" borderId="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7" borderId="1" xfId="0" applyFill="1" applyBorder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0" fillId="6" borderId="10" xfId="0" applyFill="1" applyBorder="1"/>
    <xf numFmtId="0" fontId="1" fillId="9" borderId="0" xfId="0" applyFont="1" applyFill="1"/>
    <xf numFmtId="0" fontId="1" fillId="10" borderId="0" xfId="0" applyFont="1" applyFill="1"/>
    <xf numFmtId="0" fontId="0" fillId="8" borderId="0" xfId="0" applyFill="1" applyAlignment="1">
      <alignment horizontal="center"/>
    </xf>
    <xf numFmtId="0" fontId="1" fillId="11" borderId="0" xfId="0" applyFont="1" applyFill="1"/>
    <xf numFmtId="0" fontId="0" fillId="0" borderId="5" xfId="0" applyBorder="1"/>
    <xf numFmtId="0" fontId="2" fillId="0" borderId="2" xfId="0" applyFont="1" applyBorder="1" applyAlignment="1">
      <alignment horizontal="center"/>
    </xf>
    <xf numFmtId="0" fontId="0" fillId="0" borderId="6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4" borderId="10" xfId="0" applyFill="1" applyBorder="1"/>
    <xf numFmtId="0" fontId="0" fillId="12" borderId="0" xfId="0" applyFill="1"/>
    <xf numFmtId="0" fontId="0" fillId="5" borderId="0" xfId="0" applyFill="1"/>
    <xf numFmtId="0" fontId="0" fillId="13" borderId="0" xfId="0" applyFill="1"/>
    <xf numFmtId="0" fontId="0" fillId="13" borderId="0" xfId="0" applyFill="1" applyAlignment="1">
      <alignment horizontal="center"/>
    </xf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1" fillId="6" borderId="1" xfId="0" applyFont="1" applyFill="1" applyBorder="1" applyAlignment="1">
      <alignment horizontal="center" vertical="center" wrapText="1"/>
    </xf>
    <xf numFmtId="0" fontId="0" fillId="0" borderId="15" xfId="0" applyBorder="1"/>
    <xf numFmtId="0" fontId="0" fillId="9" borderId="0" xfId="0" applyFill="1" applyAlignment="1">
      <alignment horizontal="center"/>
    </xf>
    <xf numFmtId="0" fontId="0" fillId="12" borderId="0" xfId="0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2BD0915-7695-4C6B-9426-C7323D8F869C}"/>
  </tableStyles>
  <colors>
    <mruColors>
      <color rgb="FFFFD357"/>
      <color rgb="FFCC99FF"/>
      <color rgb="FFDCB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</a:t>
            </a:r>
            <a:r>
              <a:rPr lang="en-US" baseline="0"/>
              <a:t> do rendimento P.M - E no custo total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9294554504887801"/>
          <c:y val="0.17171296296296298"/>
          <c:w val="0.77448215662539899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'Estudo de rendimento '!$B$4</c:f>
              <c:strCache>
                <c:ptCount val="1"/>
                <c:pt idx="0">
                  <c:v>Custo total (€)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'Estudo de rendimento '!$A$5:$A$11</c:f>
              <c:numCache>
                <c:formatCode>General</c:formatCode>
                <c:ptCount val="7"/>
                <c:pt idx="0">
                  <c:v>65</c:v>
                </c:pt>
                <c:pt idx="1">
                  <c:v>70</c:v>
                </c:pt>
                <c:pt idx="2">
                  <c:v>75</c:v>
                </c:pt>
                <c:pt idx="3">
                  <c:v>80</c:v>
                </c:pt>
                <c:pt idx="4">
                  <c:v>85</c:v>
                </c:pt>
                <c:pt idx="5">
                  <c:v>90</c:v>
                </c:pt>
                <c:pt idx="6">
                  <c:v>95</c:v>
                </c:pt>
              </c:numCache>
            </c:numRef>
          </c:xVal>
          <c:yVal>
            <c:numRef>
              <c:f>'Estudo de rendimento '!$B$5:$B$11</c:f>
              <c:numCache>
                <c:formatCode>General</c:formatCode>
                <c:ptCount val="7"/>
                <c:pt idx="0">
                  <c:v>43547.81</c:v>
                </c:pt>
                <c:pt idx="1">
                  <c:v>43547.81</c:v>
                </c:pt>
                <c:pt idx="2">
                  <c:v>43547.81</c:v>
                </c:pt>
                <c:pt idx="3">
                  <c:v>43453.45</c:v>
                </c:pt>
                <c:pt idx="4">
                  <c:v>42955.49</c:v>
                </c:pt>
                <c:pt idx="5">
                  <c:v>41929.199999999997</c:v>
                </c:pt>
                <c:pt idx="6">
                  <c:v>41000.629999999997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08-40C7-87B8-FF7E52964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744656"/>
        <c:axId val="1338732656"/>
      </c:scatterChart>
      <c:valAx>
        <c:axId val="1338744656"/>
        <c:scaling>
          <c:orientation val="minMax"/>
          <c:max val="95"/>
          <c:min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Rendimento P.M - E (%)</a:t>
                </a:r>
              </a:p>
            </c:rich>
          </c:tx>
          <c:layout>
            <c:manualLayout>
              <c:xMode val="edge"/>
              <c:yMode val="edge"/>
              <c:x val="0.41229046369203848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38732656"/>
        <c:crosses val="autoZero"/>
        <c:crossBetween val="midCat"/>
      </c:valAx>
      <c:valAx>
        <c:axId val="133873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Custo Total (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€)</a:t>
                </a:r>
              </a:p>
              <a:p>
                <a:pPr>
                  <a:defRPr/>
                </a:pPr>
                <a:endParaRPr lang="pt-PT"/>
              </a:p>
            </c:rich>
          </c:tx>
          <c:layout>
            <c:manualLayout>
              <c:xMode val="edge"/>
              <c:yMode val="edge"/>
              <c:x val="4.1666666666666664E-2"/>
              <c:y val="0.345906605424321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3874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0</xdr:row>
      <xdr:rowOff>171450</xdr:rowOff>
    </xdr:from>
    <xdr:to>
      <xdr:col>14</xdr:col>
      <xdr:colOff>7620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19FBE7-6C4E-2EE6-D4C4-522C13624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9BC4-5C56-477B-BB81-160E47B72642}">
  <dimension ref="A1:G41"/>
  <sheetViews>
    <sheetView topLeftCell="A19" workbookViewId="0">
      <selection activeCell="E25" sqref="E25"/>
    </sheetView>
  </sheetViews>
  <sheetFormatPr defaultRowHeight="14.4" x14ac:dyDescent="0.3"/>
  <cols>
    <col min="1" max="1" width="2.33203125" customWidth="1"/>
    <col min="2" max="2" width="6.6640625" bestFit="1" customWidth="1"/>
    <col min="3" max="3" width="18.77734375" bestFit="1" customWidth="1"/>
    <col min="4" max="4" width="12.6640625" bestFit="1" customWidth="1"/>
    <col min="5" max="5" width="14.109375" bestFit="1" customWidth="1"/>
    <col min="6" max="6" width="10.44140625" bestFit="1" customWidth="1"/>
    <col min="7" max="7" width="12" bestFit="1" customWidth="1"/>
  </cols>
  <sheetData>
    <row r="1" spans="1:5" x14ac:dyDescent="0.3">
      <c r="A1" s="1" t="s">
        <v>12</v>
      </c>
    </row>
    <row r="2" spans="1:5" x14ac:dyDescent="0.3">
      <c r="A2" s="1" t="s">
        <v>93</v>
      </c>
    </row>
    <row r="3" spans="1:5" x14ac:dyDescent="0.3">
      <c r="A3" s="1" t="s">
        <v>94</v>
      </c>
    </row>
    <row r="4" spans="1:5" x14ac:dyDescent="0.3">
      <c r="A4" s="1" t="s">
        <v>13</v>
      </c>
    </row>
    <row r="5" spans="1:5" x14ac:dyDescent="0.3">
      <c r="A5" s="1" t="s">
        <v>14</v>
      </c>
    </row>
    <row r="6" spans="1:5" x14ac:dyDescent="0.3">
      <c r="A6" s="1"/>
      <c r="B6" t="s">
        <v>15</v>
      </c>
    </row>
    <row r="7" spans="1:5" x14ac:dyDescent="0.3">
      <c r="A7" s="1"/>
      <c r="B7" t="s">
        <v>95</v>
      </c>
    </row>
    <row r="8" spans="1:5" x14ac:dyDescent="0.3">
      <c r="A8" s="1"/>
      <c r="B8" t="s">
        <v>41</v>
      </c>
    </row>
    <row r="9" spans="1:5" x14ac:dyDescent="0.3">
      <c r="A9" s="1" t="s">
        <v>16</v>
      </c>
    </row>
    <row r="10" spans="1:5" x14ac:dyDescent="0.3">
      <c r="B10" t="s">
        <v>17</v>
      </c>
    </row>
    <row r="11" spans="1:5" x14ac:dyDescent="0.3">
      <c r="B11" t="s">
        <v>18</v>
      </c>
    </row>
    <row r="14" spans="1:5" ht="15" thickBot="1" x14ac:dyDescent="0.35">
      <c r="A14" t="s">
        <v>19</v>
      </c>
    </row>
    <row r="15" spans="1:5" ht="15" thickBot="1" x14ac:dyDescent="0.35">
      <c r="B15" s="36" t="s">
        <v>5</v>
      </c>
      <c r="C15" s="36" t="s">
        <v>6</v>
      </c>
      <c r="D15" s="36" t="s">
        <v>20</v>
      </c>
      <c r="E15" s="36" t="s">
        <v>21</v>
      </c>
    </row>
    <row r="16" spans="1:5" ht="15" thickBot="1" x14ac:dyDescent="0.35">
      <c r="B16" s="35" t="s">
        <v>96</v>
      </c>
      <c r="C16" s="35" t="s">
        <v>79</v>
      </c>
      <c r="D16" s="35">
        <v>0</v>
      </c>
      <c r="E16" s="35">
        <v>43453.451380552215</v>
      </c>
    </row>
    <row r="19" spans="1:6" ht="15" thickBot="1" x14ac:dyDescent="0.35">
      <c r="A19" t="s">
        <v>22</v>
      </c>
    </row>
    <row r="20" spans="1:6" ht="15" thickBot="1" x14ac:dyDescent="0.35">
      <c r="B20" s="36" t="s">
        <v>5</v>
      </c>
      <c r="C20" s="36" t="s">
        <v>6</v>
      </c>
      <c r="D20" s="36" t="s">
        <v>20</v>
      </c>
      <c r="E20" s="36" t="s">
        <v>21</v>
      </c>
      <c r="F20" s="36" t="s">
        <v>23</v>
      </c>
    </row>
    <row r="21" spans="1:6" x14ac:dyDescent="0.3">
      <c r="B21" s="37" t="s">
        <v>97</v>
      </c>
      <c r="C21" s="37" t="s">
        <v>98</v>
      </c>
      <c r="D21" s="37">
        <v>0</v>
      </c>
      <c r="E21" s="37">
        <v>588.23529411764707</v>
      </c>
      <c r="F21" s="37" t="s">
        <v>25</v>
      </c>
    </row>
    <row r="22" spans="1:6" x14ac:dyDescent="0.3">
      <c r="B22" s="37" t="s">
        <v>99</v>
      </c>
      <c r="C22" s="37" t="s">
        <v>100</v>
      </c>
      <c r="D22" s="37">
        <v>0</v>
      </c>
      <c r="E22" s="37">
        <v>111.76470588235296</v>
      </c>
      <c r="F22" s="37" t="s">
        <v>25</v>
      </c>
    </row>
    <row r="23" spans="1:6" x14ac:dyDescent="0.3">
      <c r="B23" s="37" t="s">
        <v>101</v>
      </c>
      <c r="C23" s="37" t="s">
        <v>102</v>
      </c>
      <c r="D23" s="37">
        <v>0</v>
      </c>
      <c r="E23" s="37">
        <v>0</v>
      </c>
      <c r="F23" s="37" t="s">
        <v>25</v>
      </c>
    </row>
    <row r="24" spans="1:6" x14ac:dyDescent="0.3">
      <c r="B24" s="37" t="s">
        <v>42</v>
      </c>
      <c r="C24" s="37" t="s">
        <v>103</v>
      </c>
      <c r="D24" s="37">
        <v>0</v>
      </c>
      <c r="E24" s="37">
        <v>171.42857142857144</v>
      </c>
      <c r="F24" s="37" t="s">
        <v>25</v>
      </c>
    </row>
    <row r="25" spans="1:6" x14ac:dyDescent="0.3">
      <c r="B25" s="37" t="s">
        <v>104</v>
      </c>
      <c r="C25" s="37" t="s">
        <v>105</v>
      </c>
      <c r="D25" s="37">
        <v>0</v>
      </c>
      <c r="E25" s="37">
        <v>428.57142857142856</v>
      </c>
      <c r="F25" s="37" t="s">
        <v>25</v>
      </c>
    </row>
    <row r="26" spans="1:6" x14ac:dyDescent="0.3">
      <c r="B26" s="37" t="s">
        <v>106</v>
      </c>
      <c r="C26" s="37" t="s">
        <v>107</v>
      </c>
      <c r="D26" s="37">
        <v>0</v>
      </c>
      <c r="E26" s="37">
        <v>0</v>
      </c>
      <c r="F26" s="37" t="s">
        <v>25</v>
      </c>
    </row>
    <row r="27" spans="1:6" x14ac:dyDescent="0.3">
      <c r="B27" s="37" t="s">
        <v>108</v>
      </c>
      <c r="C27" s="37" t="s">
        <v>109</v>
      </c>
      <c r="D27" s="37">
        <v>0</v>
      </c>
      <c r="E27" s="37">
        <v>350</v>
      </c>
      <c r="F27" s="37" t="s">
        <v>25</v>
      </c>
    </row>
    <row r="28" spans="1:6" x14ac:dyDescent="0.3">
      <c r="B28" s="37" t="s">
        <v>110</v>
      </c>
      <c r="C28" s="37" t="s">
        <v>111</v>
      </c>
      <c r="D28" s="37">
        <v>0</v>
      </c>
      <c r="E28" s="37">
        <v>0</v>
      </c>
      <c r="F28" s="37" t="s">
        <v>25</v>
      </c>
    </row>
    <row r="29" spans="1:6" x14ac:dyDescent="0.3">
      <c r="B29" s="37" t="s">
        <v>112</v>
      </c>
      <c r="C29" s="37" t="s">
        <v>113</v>
      </c>
      <c r="D29" s="37">
        <v>0</v>
      </c>
      <c r="E29" s="37">
        <v>0</v>
      </c>
      <c r="F29" s="37" t="s">
        <v>25</v>
      </c>
    </row>
    <row r="30" spans="1:6" ht="15" thickBot="1" x14ac:dyDescent="0.35">
      <c r="B30" s="35" t="s">
        <v>114</v>
      </c>
      <c r="C30" s="35" t="s">
        <v>115</v>
      </c>
      <c r="D30" s="35">
        <v>0</v>
      </c>
      <c r="E30" s="35">
        <v>108.49339735894344</v>
      </c>
      <c r="F30" s="35" t="s">
        <v>25</v>
      </c>
    </row>
    <row r="33" spans="1:7" ht="15" thickBot="1" x14ac:dyDescent="0.35">
      <c r="A33" t="s">
        <v>24</v>
      </c>
    </row>
    <row r="34" spans="1:7" ht="15" thickBot="1" x14ac:dyDescent="0.35">
      <c r="B34" s="36" t="s">
        <v>5</v>
      </c>
      <c r="C34" s="36" t="s">
        <v>6</v>
      </c>
      <c r="D34" s="36" t="s">
        <v>7</v>
      </c>
      <c r="E34" s="36" t="s">
        <v>8</v>
      </c>
      <c r="F34" s="36" t="s">
        <v>9</v>
      </c>
      <c r="G34" s="36" t="s">
        <v>10</v>
      </c>
    </row>
    <row r="35" spans="1:7" x14ac:dyDescent="0.3">
      <c r="B35" s="37" t="s">
        <v>116</v>
      </c>
      <c r="C35" s="37" t="s">
        <v>84</v>
      </c>
      <c r="D35" s="37">
        <v>500</v>
      </c>
      <c r="E35" s="37" t="s">
        <v>117</v>
      </c>
      <c r="F35" s="37" t="s">
        <v>11</v>
      </c>
      <c r="G35" s="37">
        <v>0</v>
      </c>
    </row>
    <row r="36" spans="1:7" x14ac:dyDescent="0.3">
      <c r="B36" s="37" t="s">
        <v>118</v>
      </c>
      <c r="C36" s="37" t="s">
        <v>85</v>
      </c>
      <c r="D36" s="37">
        <v>600</v>
      </c>
      <c r="E36" s="37" t="s">
        <v>119</v>
      </c>
      <c r="F36" s="37" t="s">
        <v>11</v>
      </c>
      <c r="G36" s="37">
        <v>0</v>
      </c>
    </row>
    <row r="37" spans="1:7" x14ac:dyDescent="0.3">
      <c r="B37" s="37" t="s">
        <v>120</v>
      </c>
      <c r="C37" s="37" t="s">
        <v>86</v>
      </c>
      <c r="D37" s="37">
        <v>299.99999999999994</v>
      </c>
      <c r="E37" s="37" t="s">
        <v>121</v>
      </c>
      <c r="F37" s="37" t="s">
        <v>11</v>
      </c>
      <c r="G37" s="37">
        <v>0</v>
      </c>
    </row>
    <row r="38" spans="1:7" x14ac:dyDescent="0.3">
      <c r="B38" s="37" t="s">
        <v>122</v>
      </c>
      <c r="C38" s="37" t="s">
        <v>87</v>
      </c>
      <c r="D38" s="37">
        <v>700</v>
      </c>
      <c r="E38" s="37" t="s">
        <v>123</v>
      </c>
      <c r="F38" s="37" t="s">
        <v>11</v>
      </c>
      <c r="G38" s="37">
        <v>0</v>
      </c>
    </row>
    <row r="39" spans="1:7" x14ac:dyDescent="0.3">
      <c r="B39" s="37" t="s">
        <v>124</v>
      </c>
      <c r="C39" s="37" t="s">
        <v>88</v>
      </c>
      <c r="D39" s="37">
        <v>600</v>
      </c>
      <c r="E39" s="37" t="s">
        <v>125</v>
      </c>
      <c r="F39" s="37" t="s">
        <v>11</v>
      </c>
      <c r="G39" s="37">
        <v>0</v>
      </c>
    </row>
    <row r="40" spans="1:7" x14ac:dyDescent="0.3">
      <c r="B40" s="37" t="s">
        <v>126</v>
      </c>
      <c r="C40" s="37" t="s">
        <v>89</v>
      </c>
      <c r="D40" s="37">
        <v>350</v>
      </c>
      <c r="E40" s="37" t="s">
        <v>127</v>
      </c>
      <c r="F40" s="37" t="s">
        <v>11</v>
      </c>
      <c r="G40" s="37">
        <v>0</v>
      </c>
    </row>
    <row r="41" spans="1:7" ht="15" thickBot="1" x14ac:dyDescent="0.35">
      <c r="B41" s="35" t="s">
        <v>128</v>
      </c>
      <c r="C41" s="35" t="s">
        <v>90</v>
      </c>
      <c r="D41" s="35">
        <v>108.49339735894344</v>
      </c>
      <c r="E41" s="35" t="s">
        <v>129</v>
      </c>
      <c r="F41" s="35" t="s">
        <v>26</v>
      </c>
      <c r="G41" s="35">
        <v>291.50660264105659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58A4-4AE4-48A4-B2B6-B6B78AEF8B2F}">
  <dimension ref="A1:H29"/>
  <sheetViews>
    <sheetView topLeftCell="A4" workbookViewId="0">
      <selection activeCell="G19" sqref="G19"/>
    </sheetView>
  </sheetViews>
  <sheetFormatPr defaultRowHeight="14.4" x14ac:dyDescent="0.3"/>
  <cols>
    <col min="1" max="1" width="2.33203125" customWidth="1"/>
    <col min="2" max="2" width="6.6640625" bestFit="1" customWidth="1"/>
    <col min="3" max="3" width="17.21875" bestFit="1" customWidth="1"/>
    <col min="4" max="4" width="12" bestFit="1" customWidth="1"/>
    <col min="5" max="5" width="12.6640625" bestFit="1" customWidth="1"/>
    <col min="6" max="6" width="10.109375" bestFit="1" customWidth="1"/>
    <col min="7" max="8" width="12" bestFit="1" customWidth="1"/>
  </cols>
  <sheetData>
    <row r="1" spans="1:8" x14ac:dyDescent="0.3">
      <c r="A1" s="1" t="s">
        <v>27</v>
      </c>
    </row>
    <row r="2" spans="1:8" x14ac:dyDescent="0.3">
      <c r="A2" s="1" t="s">
        <v>93</v>
      </c>
    </row>
    <row r="3" spans="1:8" x14ac:dyDescent="0.3">
      <c r="A3" s="1" t="s">
        <v>94</v>
      </c>
    </row>
    <row r="6" spans="1:8" ht="15" thickBot="1" x14ac:dyDescent="0.35">
      <c r="A6" t="s">
        <v>22</v>
      </c>
    </row>
    <row r="7" spans="1:8" x14ac:dyDescent="0.3">
      <c r="B7" s="38"/>
      <c r="C7" s="38"/>
      <c r="D7" s="38" t="s">
        <v>28</v>
      </c>
      <c r="E7" s="38" t="s">
        <v>30</v>
      </c>
      <c r="F7" s="38" t="s">
        <v>32</v>
      </c>
      <c r="G7" s="38" t="s">
        <v>34</v>
      </c>
      <c r="H7" s="38" t="s">
        <v>34</v>
      </c>
    </row>
    <row r="8" spans="1:8" ht="15" thickBot="1" x14ac:dyDescent="0.35">
      <c r="B8" s="39" t="s">
        <v>5</v>
      </c>
      <c r="C8" s="39" t="s">
        <v>6</v>
      </c>
      <c r="D8" s="39" t="s">
        <v>29</v>
      </c>
      <c r="E8" s="39" t="s">
        <v>31</v>
      </c>
      <c r="F8" s="39" t="s">
        <v>33</v>
      </c>
      <c r="G8" s="39" t="s">
        <v>35</v>
      </c>
      <c r="H8" s="39" t="s">
        <v>36</v>
      </c>
    </row>
    <row r="9" spans="1:8" x14ac:dyDescent="0.3">
      <c r="B9" s="37" t="s">
        <v>97</v>
      </c>
      <c r="C9" s="37" t="s">
        <v>98</v>
      </c>
      <c r="D9" s="37">
        <v>588.23529411764707</v>
      </c>
      <c r="E9" s="37">
        <v>0</v>
      </c>
      <c r="F9" s="37">
        <v>21.5</v>
      </c>
      <c r="G9" s="37">
        <v>0.51984126984127077</v>
      </c>
      <c r="H9" s="37">
        <v>1E+30</v>
      </c>
    </row>
    <row r="10" spans="1:8" x14ac:dyDescent="0.3">
      <c r="B10" s="37" t="s">
        <v>99</v>
      </c>
      <c r="C10" s="37" t="s">
        <v>100</v>
      </c>
      <c r="D10" s="37">
        <v>111.76470588235296</v>
      </c>
      <c r="E10" s="37">
        <v>0</v>
      </c>
      <c r="F10" s="37">
        <v>26</v>
      </c>
      <c r="G10" s="37">
        <v>3.1428571428571357</v>
      </c>
      <c r="H10" s="37">
        <v>0.51984126984127077</v>
      </c>
    </row>
    <row r="11" spans="1:8" x14ac:dyDescent="0.3">
      <c r="B11" s="37" t="s">
        <v>101</v>
      </c>
      <c r="C11" s="37" t="s">
        <v>102</v>
      </c>
      <c r="D11" s="37">
        <v>0</v>
      </c>
      <c r="E11" s="37">
        <v>0.55042016806722793</v>
      </c>
      <c r="F11" s="37">
        <v>25.75</v>
      </c>
      <c r="G11" s="37">
        <v>1E+30</v>
      </c>
      <c r="H11" s="37">
        <v>0.55042016806722793</v>
      </c>
    </row>
    <row r="12" spans="1:8" x14ac:dyDescent="0.3">
      <c r="B12" s="37" t="s">
        <v>42</v>
      </c>
      <c r="C12" s="37" t="s">
        <v>103</v>
      </c>
      <c r="D12" s="37">
        <v>171.42857142857144</v>
      </c>
      <c r="E12" s="37">
        <v>0</v>
      </c>
      <c r="F12" s="37">
        <v>28.25</v>
      </c>
      <c r="G12" s="37">
        <v>0.55042016806722793</v>
      </c>
      <c r="H12" s="37">
        <v>1.3571428571428541</v>
      </c>
    </row>
    <row r="13" spans="1:8" x14ac:dyDescent="0.3">
      <c r="B13" s="37" t="s">
        <v>104</v>
      </c>
      <c r="C13" s="37" t="s">
        <v>105</v>
      </c>
      <c r="D13" s="37">
        <v>428.57142857142856</v>
      </c>
      <c r="E13" s="37">
        <v>0</v>
      </c>
      <c r="F13" s="37">
        <v>25.5</v>
      </c>
      <c r="G13" s="37">
        <v>1.3571428571428541</v>
      </c>
      <c r="H13" s="37">
        <v>1E+30</v>
      </c>
    </row>
    <row r="14" spans="1:8" x14ac:dyDescent="0.3">
      <c r="B14" s="37" t="s">
        <v>106</v>
      </c>
      <c r="C14" s="37" t="s">
        <v>107</v>
      </c>
      <c r="D14" s="37">
        <v>0</v>
      </c>
      <c r="E14" s="37">
        <v>1.8718487394957979</v>
      </c>
      <c r="F14" s="37">
        <v>23.75</v>
      </c>
      <c r="G14" s="37">
        <v>1E+30</v>
      </c>
      <c r="H14" s="37">
        <v>1.8718487394957979</v>
      </c>
    </row>
    <row r="15" spans="1:8" x14ac:dyDescent="0.3">
      <c r="B15" s="37" t="s">
        <v>108</v>
      </c>
      <c r="C15" s="37" t="s">
        <v>109</v>
      </c>
      <c r="D15" s="37">
        <v>350</v>
      </c>
      <c r="E15" s="37">
        <v>0</v>
      </c>
      <c r="F15" s="37">
        <v>26.75</v>
      </c>
      <c r="G15" s="37">
        <v>1.5510204081632617</v>
      </c>
      <c r="H15" s="37">
        <v>1E+30</v>
      </c>
    </row>
    <row r="16" spans="1:8" x14ac:dyDescent="0.3">
      <c r="B16" s="37" t="s">
        <v>110</v>
      </c>
      <c r="C16" s="37" t="s">
        <v>111</v>
      </c>
      <c r="D16" s="37">
        <v>0</v>
      </c>
      <c r="E16" s="37">
        <v>1.5510204081632617</v>
      </c>
      <c r="F16" s="37">
        <v>27.5</v>
      </c>
      <c r="G16" s="37">
        <v>1E+30</v>
      </c>
      <c r="H16" s="37">
        <v>1.5510204081632617</v>
      </c>
    </row>
    <row r="17" spans="1:8" x14ac:dyDescent="0.3">
      <c r="B17" s="37" t="s">
        <v>112</v>
      </c>
      <c r="C17" s="37" t="s">
        <v>113</v>
      </c>
      <c r="D17" s="37">
        <v>0</v>
      </c>
      <c r="E17" s="37">
        <v>1.306722689075634</v>
      </c>
      <c r="F17" s="37">
        <v>24.5</v>
      </c>
      <c r="G17" s="37">
        <v>1E+30</v>
      </c>
      <c r="H17" s="37">
        <v>1.306722689075634</v>
      </c>
    </row>
    <row r="18" spans="1:8" ht="15" thickBot="1" x14ac:dyDescent="0.35">
      <c r="B18" s="35" t="s">
        <v>114</v>
      </c>
      <c r="C18" s="35" t="s">
        <v>115</v>
      </c>
      <c r="D18" s="35">
        <v>108.49339735894344</v>
      </c>
      <c r="E18" s="35">
        <v>0</v>
      </c>
      <c r="F18" s="35">
        <v>25.5</v>
      </c>
      <c r="G18" s="35">
        <v>1.2148437500000036</v>
      </c>
      <c r="H18" s="35">
        <v>0.78124999999998868</v>
      </c>
    </row>
    <row r="20" spans="1:8" ht="15" thickBot="1" x14ac:dyDescent="0.35">
      <c r="A20" t="s">
        <v>24</v>
      </c>
    </row>
    <row r="21" spans="1:8" x14ac:dyDescent="0.3">
      <c r="B21" s="38"/>
      <c r="C21" s="38"/>
      <c r="D21" s="38" t="s">
        <v>28</v>
      </c>
      <c r="E21" s="38" t="s">
        <v>37</v>
      </c>
      <c r="F21" s="38" t="s">
        <v>39</v>
      </c>
      <c r="G21" s="38" t="s">
        <v>34</v>
      </c>
      <c r="H21" s="38" t="s">
        <v>34</v>
      </c>
    </row>
    <row r="22" spans="1:8" ht="15" thickBot="1" x14ac:dyDescent="0.35">
      <c r="B22" s="39" t="s">
        <v>5</v>
      </c>
      <c r="C22" s="39" t="s">
        <v>6</v>
      </c>
      <c r="D22" s="39" t="s">
        <v>29</v>
      </c>
      <c r="E22" s="39" t="s">
        <v>38</v>
      </c>
      <c r="F22" s="39" t="s">
        <v>40</v>
      </c>
      <c r="G22" s="39" t="s">
        <v>35</v>
      </c>
      <c r="H22" s="39" t="s">
        <v>36</v>
      </c>
    </row>
    <row r="23" spans="1:8" x14ac:dyDescent="0.3">
      <c r="B23" s="37" t="s">
        <v>116</v>
      </c>
      <c r="C23" s="37" t="s">
        <v>84</v>
      </c>
      <c r="D23" s="37">
        <v>500</v>
      </c>
      <c r="E23" s="37">
        <v>28.991596638655452</v>
      </c>
      <c r="F23" s="37">
        <v>500</v>
      </c>
      <c r="G23" s="37">
        <v>95.000000000000014</v>
      </c>
      <c r="H23" s="37">
        <v>80.691964285714207</v>
      </c>
    </row>
    <row r="24" spans="1:8" x14ac:dyDescent="0.3">
      <c r="B24" s="37" t="s">
        <v>118</v>
      </c>
      <c r="C24" s="37" t="s">
        <v>85</v>
      </c>
      <c r="D24" s="37">
        <v>600</v>
      </c>
      <c r="E24" s="37">
        <v>36.428571428571409</v>
      </c>
      <c r="F24" s="37">
        <v>600</v>
      </c>
      <c r="G24" s="37">
        <v>204.05462184873966</v>
      </c>
      <c r="H24" s="37">
        <v>75.945378151260442</v>
      </c>
    </row>
    <row r="25" spans="1:8" x14ac:dyDescent="0.3">
      <c r="B25" s="37" t="s">
        <v>120</v>
      </c>
      <c r="C25" s="37" t="s">
        <v>86</v>
      </c>
      <c r="D25" s="37">
        <v>299.99999999999994</v>
      </c>
      <c r="E25" s="37">
        <v>37.704081632653043</v>
      </c>
      <c r="F25" s="37">
        <v>300</v>
      </c>
      <c r="G25" s="37">
        <v>120.00000000000001</v>
      </c>
      <c r="H25" s="37">
        <v>66.452205882352871</v>
      </c>
    </row>
    <row r="26" spans="1:8" x14ac:dyDescent="0.3">
      <c r="B26" s="37" t="s">
        <v>122</v>
      </c>
      <c r="C26" s="37" t="s">
        <v>87</v>
      </c>
      <c r="D26" s="37">
        <v>700</v>
      </c>
      <c r="E26" s="37">
        <v>-3.1428571428571357</v>
      </c>
      <c r="F26" s="37">
        <v>700</v>
      </c>
      <c r="G26" s="37">
        <v>94.931722689075528</v>
      </c>
      <c r="H26" s="37">
        <v>111.76470588235296</v>
      </c>
    </row>
    <row r="27" spans="1:8" x14ac:dyDescent="0.3">
      <c r="B27" s="37" t="s">
        <v>124</v>
      </c>
      <c r="C27" s="37" t="s">
        <v>88</v>
      </c>
      <c r="D27" s="37">
        <v>600</v>
      </c>
      <c r="E27" s="37">
        <v>-0.89285714285712947</v>
      </c>
      <c r="F27" s="37">
        <v>600</v>
      </c>
      <c r="G27" s="37">
        <v>94.931722689075556</v>
      </c>
      <c r="H27" s="37">
        <v>171.42857142857147</v>
      </c>
    </row>
    <row r="28" spans="1:8" x14ac:dyDescent="0.3">
      <c r="B28" s="37" t="s">
        <v>126</v>
      </c>
      <c r="C28" s="37" t="s">
        <v>89</v>
      </c>
      <c r="D28" s="37">
        <v>350</v>
      </c>
      <c r="E28" s="37">
        <v>-4.2142857142857029</v>
      </c>
      <c r="F28" s="37">
        <v>350</v>
      </c>
      <c r="G28" s="37">
        <v>89.347503707365206</v>
      </c>
      <c r="H28" s="37">
        <v>240.06426099851726</v>
      </c>
    </row>
    <row r="29" spans="1:8" ht="15" thickBot="1" x14ac:dyDescent="0.35">
      <c r="B29" s="35" t="s">
        <v>128</v>
      </c>
      <c r="C29" s="35" t="s">
        <v>90</v>
      </c>
      <c r="D29" s="35">
        <v>108.49339735894344</v>
      </c>
      <c r="E29" s="35">
        <v>0</v>
      </c>
      <c r="F29" s="35">
        <v>400</v>
      </c>
      <c r="G29" s="35">
        <v>1E+30</v>
      </c>
      <c r="H29" s="35">
        <v>291.50660264105659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2F86-05D4-4816-B585-C66128AB5BD3}">
  <dimension ref="A1:O38"/>
  <sheetViews>
    <sheetView topLeftCell="A11" workbookViewId="0">
      <selection activeCell="J17" sqref="J17"/>
    </sheetView>
  </sheetViews>
  <sheetFormatPr defaultRowHeight="14.4" x14ac:dyDescent="0.3"/>
  <cols>
    <col min="2" max="2" width="19.109375" bestFit="1" customWidth="1"/>
    <col min="3" max="3" width="16.77734375" bestFit="1" customWidth="1"/>
    <col min="4" max="4" width="13.21875" customWidth="1"/>
    <col min="5" max="5" width="11.5546875" customWidth="1"/>
    <col min="13" max="13" width="13.88671875" customWidth="1"/>
    <col min="14" max="14" width="12.6640625" bestFit="1" customWidth="1"/>
  </cols>
  <sheetData>
    <row r="1" spans="1:12" x14ac:dyDescent="0.3">
      <c r="A1" s="1"/>
      <c r="B1" s="2" t="s">
        <v>43</v>
      </c>
      <c r="C1" s="4"/>
    </row>
    <row r="2" spans="1:12" x14ac:dyDescent="0.3">
      <c r="A2" s="3"/>
      <c r="B2" s="10" t="s">
        <v>47</v>
      </c>
      <c r="C2" s="7" t="s">
        <v>51</v>
      </c>
    </row>
    <row r="3" spans="1:12" x14ac:dyDescent="0.3">
      <c r="A3" s="3"/>
      <c r="B3" s="10" t="s">
        <v>48</v>
      </c>
      <c r="C3" s="7" t="s">
        <v>52</v>
      </c>
    </row>
    <row r="4" spans="1:12" x14ac:dyDescent="0.3">
      <c r="A4" s="3"/>
      <c r="B4" s="10" t="s">
        <v>49</v>
      </c>
      <c r="C4" s="7" t="s">
        <v>53</v>
      </c>
    </row>
    <row r="5" spans="1:12" x14ac:dyDescent="0.3">
      <c r="A5" s="3"/>
      <c r="B5" s="11" t="s">
        <v>50</v>
      </c>
      <c r="C5" s="8" t="s">
        <v>0</v>
      </c>
    </row>
    <row r="6" spans="1:12" x14ac:dyDescent="0.3">
      <c r="A6" s="3"/>
      <c r="B6" s="9" t="s">
        <v>44</v>
      </c>
      <c r="C6" s="5" t="s">
        <v>1</v>
      </c>
    </row>
    <row r="7" spans="1:12" x14ac:dyDescent="0.3">
      <c r="A7" s="3"/>
      <c r="B7" s="9" t="s">
        <v>45</v>
      </c>
      <c r="C7" s="5" t="s">
        <v>2</v>
      </c>
    </row>
    <row r="8" spans="1:12" x14ac:dyDescent="0.3">
      <c r="A8" s="3"/>
      <c r="B8" s="15" t="s">
        <v>46</v>
      </c>
      <c r="C8" s="6" t="s">
        <v>3</v>
      </c>
    </row>
    <row r="10" spans="1:12" ht="43.2" x14ac:dyDescent="0.3">
      <c r="B10" s="24" t="s">
        <v>130</v>
      </c>
      <c r="C10" s="50" t="s">
        <v>77</v>
      </c>
      <c r="D10" s="25" t="s">
        <v>4</v>
      </c>
      <c r="E10" s="25" t="s">
        <v>83</v>
      </c>
    </row>
    <row r="11" spans="1:12" x14ac:dyDescent="0.3">
      <c r="B11" s="20" t="s">
        <v>66</v>
      </c>
      <c r="C11" s="22">
        <v>15</v>
      </c>
      <c r="D11" s="18">
        <v>6.5</v>
      </c>
      <c r="E11" s="30">
        <v>0.85</v>
      </c>
      <c r="F11" s="1"/>
      <c r="G11" s="1"/>
      <c r="H11" s="1"/>
      <c r="I11" s="1"/>
      <c r="J11" s="1"/>
      <c r="K11" s="1"/>
      <c r="L11" s="1"/>
    </row>
    <row r="12" spans="1:12" x14ac:dyDescent="0.3">
      <c r="B12" s="20" t="s">
        <v>78</v>
      </c>
      <c r="C12" s="22">
        <v>15</v>
      </c>
      <c r="D12" s="18">
        <v>11</v>
      </c>
      <c r="E12" s="22">
        <v>0.8</v>
      </c>
      <c r="F12" s="1"/>
      <c r="G12" s="1"/>
      <c r="H12" s="1"/>
      <c r="I12" s="1"/>
      <c r="J12" s="1"/>
      <c r="K12" s="1"/>
      <c r="L12" s="1"/>
    </row>
    <row r="13" spans="1:12" x14ac:dyDescent="0.3">
      <c r="B13" s="20" t="s">
        <v>68</v>
      </c>
      <c r="C13" s="22">
        <v>16</v>
      </c>
      <c r="D13" s="18">
        <v>9.75</v>
      </c>
      <c r="E13" s="22">
        <v>0.9</v>
      </c>
      <c r="F13" s="1"/>
      <c r="G13" s="1"/>
      <c r="H13" s="1"/>
      <c r="I13" s="1"/>
      <c r="J13" s="1"/>
      <c r="K13" s="1"/>
      <c r="L13" s="1"/>
    </row>
    <row r="14" spans="1:12" x14ac:dyDescent="0.3">
      <c r="B14" s="20" t="s">
        <v>69</v>
      </c>
      <c r="C14" s="22">
        <v>16</v>
      </c>
      <c r="D14" s="18">
        <v>12.25</v>
      </c>
      <c r="E14" s="22">
        <v>0.8</v>
      </c>
    </row>
    <row r="15" spans="1:12" x14ac:dyDescent="0.3">
      <c r="B15" s="20" t="s">
        <v>70</v>
      </c>
      <c r="C15" s="22">
        <v>16</v>
      </c>
      <c r="D15" s="18">
        <v>9.5</v>
      </c>
      <c r="E15" s="22">
        <v>0.7</v>
      </c>
    </row>
    <row r="16" spans="1:12" x14ac:dyDescent="0.3">
      <c r="B16" s="20" t="s">
        <v>71</v>
      </c>
      <c r="C16" s="22">
        <v>19</v>
      </c>
      <c r="D16" s="18">
        <v>4.75</v>
      </c>
      <c r="E16" s="22">
        <v>0.9</v>
      </c>
    </row>
    <row r="17" spans="2:15" x14ac:dyDescent="0.3">
      <c r="B17" s="20" t="s">
        <v>72</v>
      </c>
      <c r="C17" s="22">
        <v>19</v>
      </c>
      <c r="D17" s="18">
        <v>7.75</v>
      </c>
      <c r="E17" s="22">
        <v>0.85</v>
      </c>
    </row>
    <row r="18" spans="2:15" x14ac:dyDescent="0.3">
      <c r="B18" s="20" t="s">
        <v>73</v>
      </c>
      <c r="C18" s="22">
        <v>19</v>
      </c>
      <c r="D18" s="18">
        <v>8.5</v>
      </c>
      <c r="E18" s="22">
        <v>0.8</v>
      </c>
    </row>
    <row r="19" spans="2:15" x14ac:dyDescent="0.3">
      <c r="B19" s="20" t="s">
        <v>74</v>
      </c>
      <c r="C19" s="22">
        <v>17</v>
      </c>
      <c r="D19" s="18">
        <v>7.5</v>
      </c>
      <c r="E19" s="22">
        <v>0.8</v>
      </c>
    </row>
    <row r="20" spans="2:15" x14ac:dyDescent="0.3">
      <c r="B20" s="21" t="s">
        <v>75</v>
      </c>
      <c r="C20" s="23">
        <v>17</v>
      </c>
      <c r="D20" s="19">
        <v>8.5</v>
      </c>
      <c r="E20" s="23">
        <v>0.7</v>
      </c>
    </row>
    <row r="22" spans="2:15" x14ac:dyDescent="0.3">
      <c r="B22" s="1" t="s">
        <v>54</v>
      </c>
      <c r="C22" s="16" t="s">
        <v>66</v>
      </c>
      <c r="D22" s="16" t="s">
        <v>67</v>
      </c>
      <c r="E22" s="16" t="s">
        <v>68</v>
      </c>
      <c r="F22" s="16" t="s">
        <v>69</v>
      </c>
      <c r="G22" s="16" t="s">
        <v>70</v>
      </c>
      <c r="H22" s="16" t="s">
        <v>71</v>
      </c>
      <c r="I22" s="16" t="s">
        <v>72</v>
      </c>
      <c r="J22" s="16" t="s">
        <v>73</v>
      </c>
      <c r="K22" s="16" t="s">
        <v>74</v>
      </c>
      <c r="L22" s="16" t="s">
        <v>75</v>
      </c>
    </row>
    <row r="23" spans="2:15" x14ac:dyDescent="0.3">
      <c r="B23" s="1"/>
      <c r="C23" s="2" t="s">
        <v>55</v>
      </c>
      <c r="D23" s="2" t="s">
        <v>56</v>
      </c>
      <c r="E23" s="2" t="s">
        <v>57</v>
      </c>
      <c r="F23" s="2" t="s">
        <v>58</v>
      </c>
      <c r="G23" s="2" t="s">
        <v>59</v>
      </c>
      <c r="H23" s="2" t="s">
        <v>60</v>
      </c>
      <c r="I23" s="2" t="s">
        <v>61</v>
      </c>
      <c r="J23" s="2" t="s">
        <v>62</v>
      </c>
      <c r="K23" s="2" t="s">
        <v>63</v>
      </c>
      <c r="L23" s="2" t="s">
        <v>64</v>
      </c>
    </row>
    <row r="24" spans="2:15" x14ac:dyDescent="0.3">
      <c r="B24" s="12" t="s">
        <v>65</v>
      </c>
      <c r="C24" s="13">
        <v>588.23529411764707</v>
      </c>
      <c r="D24" s="13">
        <v>111.76470588235296</v>
      </c>
      <c r="E24" s="13">
        <v>0</v>
      </c>
      <c r="F24" s="13">
        <v>171.42857142857144</v>
      </c>
      <c r="G24" s="13">
        <v>428.57142857142856</v>
      </c>
      <c r="H24" s="13">
        <v>0</v>
      </c>
      <c r="I24" s="13">
        <v>350</v>
      </c>
      <c r="J24" s="13">
        <v>0</v>
      </c>
      <c r="K24" s="13">
        <v>0</v>
      </c>
      <c r="L24" s="14">
        <v>108.49339735894344</v>
      </c>
    </row>
    <row r="25" spans="2:15" x14ac:dyDescent="0.3">
      <c r="B25" s="1" t="s">
        <v>76</v>
      </c>
      <c r="C25" cm="1">
        <f t="array" ref="C25:L25">TRANSPOSE(C11:C20)</f>
        <v>15</v>
      </c>
      <c r="D25">
        <v>15</v>
      </c>
      <c r="E25">
        <v>16</v>
      </c>
      <c r="F25">
        <v>16</v>
      </c>
      <c r="G25">
        <v>16</v>
      </c>
      <c r="H25">
        <v>19</v>
      </c>
      <c r="I25">
        <v>19</v>
      </c>
      <c r="J25">
        <v>19</v>
      </c>
      <c r="K25">
        <v>17</v>
      </c>
      <c r="L25">
        <v>17</v>
      </c>
    </row>
    <row r="26" spans="2:15" x14ac:dyDescent="0.3">
      <c r="B26" s="1" t="s">
        <v>79</v>
      </c>
      <c r="C26" cm="1">
        <f t="array" ref="C26:L26">TRANSPOSE(D11:D20)</f>
        <v>6.5</v>
      </c>
      <c r="D26">
        <v>11</v>
      </c>
      <c r="E26">
        <v>9.75</v>
      </c>
      <c r="F26">
        <v>12.25</v>
      </c>
      <c r="G26">
        <v>9.5</v>
      </c>
      <c r="H26">
        <v>4.75</v>
      </c>
      <c r="I26">
        <v>7.75</v>
      </c>
      <c r="J26">
        <v>8.5</v>
      </c>
      <c r="K26">
        <v>7.5</v>
      </c>
      <c r="L26">
        <v>8.5</v>
      </c>
      <c r="M26" s="27">
        <f>SUM(SUMPRODUCT(C25:L25,$C$24:$L$24),SUMPRODUCT(C26:L26,$C$24:$L$24))</f>
        <v>43453.451380552215</v>
      </c>
      <c r="N26" s="1" t="s">
        <v>80</v>
      </c>
      <c r="O26" s="29" t="s">
        <v>82</v>
      </c>
    </row>
    <row r="28" spans="2:15" x14ac:dyDescent="0.3">
      <c r="B28" s="28" t="s">
        <v>81</v>
      </c>
      <c r="C28" s="26"/>
      <c r="D28" s="26"/>
      <c r="E28" s="26"/>
    </row>
    <row r="29" spans="2:15" x14ac:dyDescent="0.3">
      <c r="B29" s="31" t="s">
        <v>84</v>
      </c>
      <c r="C29" s="17">
        <f>E11</f>
        <v>0.85</v>
      </c>
      <c r="D29" s="17">
        <v>0</v>
      </c>
      <c r="E29" s="17">
        <f>E13</f>
        <v>0.9</v>
      </c>
      <c r="F29" s="17">
        <v>0</v>
      </c>
      <c r="G29" s="17">
        <v>0</v>
      </c>
      <c r="H29" s="17">
        <f>E16</f>
        <v>0.9</v>
      </c>
      <c r="I29" s="17">
        <v>0</v>
      </c>
      <c r="J29" s="17">
        <v>0</v>
      </c>
      <c r="K29" s="17">
        <f>E19</f>
        <v>0.8</v>
      </c>
      <c r="L29" s="17">
        <v>0</v>
      </c>
      <c r="M29" s="32">
        <f>SUMPRODUCT(C29:L29,$C$24:$L$24)</f>
        <v>500</v>
      </c>
      <c r="N29" s="33" t="s">
        <v>92</v>
      </c>
      <c r="O29" s="34">
        <v>500</v>
      </c>
    </row>
    <row r="30" spans="2:15" x14ac:dyDescent="0.3">
      <c r="B30" s="31" t="s">
        <v>85</v>
      </c>
      <c r="C30" s="17">
        <v>0</v>
      </c>
      <c r="D30" s="17">
        <f>E12</f>
        <v>0.8</v>
      </c>
      <c r="E30" s="17">
        <v>0</v>
      </c>
      <c r="F30" s="17">
        <f>E14</f>
        <v>0.8</v>
      </c>
      <c r="G30" s="17">
        <v>0</v>
      </c>
      <c r="H30" s="17">
        <v>0</v>
      </c>
      <c r="I30" s="17">
        <f>E17</f>
        <v>0.85</v>
      </c>
      <c r="J30" s="17">
        <v>0</v>
      </c>
      <c r="K30" s="17">
        <v>0</v>
      </c>
      <c r="L30" s="17">
        <f>E20</f>
        <v>0.7</v>
      </c>
      <c r="M30" s="32">
        <f t="shared" ref="M30:M31" si="0">SUMPRODUCT(C30:L30,$C$24:$L$24)</f>
        <v>600</v>
      </c>
      <c r="N30" s="33" t="s">
        <v>92</v>
      </c>
      <c r="O30" s="34">
        <v>600</v>
      </c>
    </row>
    <row r="31" spans="2:15" x14ac:dyDescent="0.3">
      <c r="B31" s="31" t="s">
        <v>86</v>
      </c>
      <c r="C31" s="17">
        <v>0</v>
      </c>
      <c r="D31" s="17">
        <v>0</v>
      </c>
      <c r="E31" s="17">
        <v>0</v>
      </c>
      <c r="F31" s="17">
        <v>0</v>
      </c>
      <c r="G31" s="17">
        <f>E15</f>
        <v>0.7</v>
      </c>
      <c r="H31" s="17">
        <v>0</v>
      </c>
      <c r="I31" s="17">
        <v>0</v>
      </c>
      <c r="J31" s="17">
        <f>E18</f>
        <v>0.8</v>
      </c>
      <c r="K31" s="17">
        <v>0</v>
      </c>
      <c r="L31" s="17">
        <v>0</v>
      </c>
      <c r="M31" s="32">
        <f t="shared" si="0"/>
        <v>299.99999999999994</v>
      </c>
      <c r="N31" s="33" t="s">
        <v>92</v>
      </c>
      <c r="O31" s="34">
        <v>300</v>
      </c>
    </row>
    <row r="32" spans="2:15" x14ac:dyDescent="0.3">
      <c r="B32" s="31" t="s">
        <v>87</v>
      </c>
      <c r="C32" s="17">
        <v>1</v>
      </c>
      <c r="D32" s="17">
        <v>1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32">
        <f>SUMPRODUCT(C32:L32,$C$24:$L$24)</f>
        <v>700</v>
      </c>
      <c r="N32" s="33" t="s">
        <v>91</v>
      </c>
      <c r="O32" s="34">
        <v>700</v>
      </c>
    </row>
    <row r="33" spans="2:15" x14ac:dyDescent="0.3">
      <c r="B33" s="31" t="s">
        <v>88</v>
      </c>
      <c r="C33" s="17">
        <v>0</v>
      </c>
      <c r="D33" s="17">
        <v>0</v>
      </c>
      <c r="E33" s="17">
        <v>1</v>
      </c>
      <c r="F33" s="17">
        <v>1</v>
      </c>
      <c r="G33" s="17">
        <v>1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32">
        <f t="shared" ref="M33:M35" si="1">SUMPRODUCT(C33:L33,$C$24:$L$24)</f>
        <v>600</v>
      </c>
      <c r="N33" s="33" t="s">
        <v>91</v>
      </c>
      <c r="O33" s="34">
        <v>600</v>
      </c>
    </row>
    <row r="34" spans="2:15" x14ac:dyDescent="0.3">
      <c r="B34" s="31" t="s">
        <v>89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1</v>
      </c>
      <c r="I34" s="17">
        <v>1</v>
      </c>
      <c r="J34" s="17">
        <v>1</v>
      </c>
      <c r="K34" s="17">
        <v>0</v>
      </c>
      <c r="L34" s="17">
        <v>0</v>
      </c>
      <c r="M34" s="32">
        <f t="shared" si="1"/>
        <v>350</v>
      </c>
      <c r="N34" s="33" t="s">
        <v>91</v>
      </c>
      <c r="O34" s="34">
        <v>350</v>
      </c>
    </row>
    <row r="35" spans="2:15" x14ac:dyDescent="0.3">
      <c r="B35" s="31" t="s">
        <v>90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1</v>
      </c>
      <c r="L35" s="17">
        <v>1</v>
      </c>
      <c r="M35" s="32">
        <f t="shared" si="1"/>
        <v>108.49339735894344</v>
      </c>
      <c r="N35" s="33" t="s">
        <v>91</v>
      </c>
      <c r="O35" s="34">
        <v>400</v>
      </c>
    </row>
    <row r="36" spans="2:15" x14ac:dyDescent="0.3">
      <c r="B36" s="1"/>
    </row>
    <row r="37" spans="2:15" x14ac:dyDescent="0.3">
      <c r="B37" s="1"/>
    </row>
    <row r="38" spans="2:15" x14ac:dyDescent="0.3">
      <c r="B38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6636-1C1B-4178-895E-5AAA9D061D98}">
  <dimension ref="A2:E21"/>
  <sheetViews>
    <sheetView workbookViewId="0">
      <selection activeCell="A2" sqref="A2:B9"/>
    </sheetView>
  </sheetViews>
  <sheetFormatPr defaultRowHeight="14.4" x14ac:dyDescent="0.3"/>
  <cols>
    <col min="1" max="1" width="15.109375" bestFit="1" customWidth="1"/>
    <col min="2" max="3" width="16.77734375" bestFit="1" customWidth="1"/>
  </cols>
  <sheetData>
    <row r="2" spans="1:5" x14ac:dyDescent="0.3">
      <c r="A2" s="2" t="s">
        <v>43</v>
      </c>
      <c r="B2" s="4"/>
    </row>
    <row r="3" spans="1:5" x14ac:dyDescent="0.3">
      <c r="A3" s="10" t="s">
        <v>47</v>
      </c>
      <c r="B3" s="40" t="s">
        <v>51</v>
      </c>
    </row>
    <row r="4" spans="1:5" x14ac:dyDescent="0.3">
      <c r="A4" s="10" t="s">
        <v>48</v>
      </c>
      <c r="B4" s="7" t="s">
        <v>52</v>
      </c>
    </row>
    <row r="5" spans="1:5" x14ac:dyDescent="0.3">
      <c r="A5" s="10" t="s">
        <v>49</v>
      </c>
      <c r="B5" s="7" t="s">
        <v>53</v>
      </c>
    </row>
    <row r="6" spans="1:5" x14ac:dyDescent="0.3">
      <c r="A6" s="11" t="s">
        <v>50</v>
      </c>
      <c r="B6" s="8" t="s">
        <v>0</v>
      </c>
    </row>
    <row r="7" spans="1:5" x14ac:dyDescent="0.3">
      <c r="A7" s="9" t="s">
        <v>44</v>
      </c>
      <c r="B7" s="5" t="s">
        <v>1</v>
      </c>
    </row>
    <row r="8" spans="1:5" x14ac:dyDescent="0.3">
      <c r="A8" s="9" t="s">
        <v>45</v>
      </c>
      <c r="B8" s="5" t="s">
        <v>2</v>
      </c>
      <c r="D8" s="1"/>
    </row>
    <row r="9" spans="1:5" x14ac:dyDescent="0.3">
      <c r="A9" s="15" t="s">
        <v>46</v>
      </c>
      <c r="B9" s="6" t="s">
        <v>3</v>
      </c>
    </row>
    <row r="11" spans="1:5" x14ac:dyDescent="0.3">
      <c r="A11" s="1" t="s">
        <v>140</v>
      </c>
    </row>
    <row r="12" spans="1:5" x14ac:dyDescent="0.3">
      <c r="B12" s="53" t="s">
        <v>132</v>
      </c>
      <c r="C12" s="53"/>
      <c r="D12" s="53"/>
    </row>
    <row r="13" spans="1:5" x14ac:dyDescent="0.3">
      <c r="A13" s="41" t="s">
        <v>131</v>
      </c>
      <c r="B13" s="42" t="s">
        <v>44</v>
      </c>
      <c r="C13" s="42" t="s">
        <v>45</v>
      </c>
      <c r="D13" s="42" t="s">
        <v>46</v>
      </c>
      <c r="E13" s="41" t="s">
        <v>134</v>
      </c>
    </row>
    <row r="14" spans="1:5" x14ac:dyDescent="0.3">
      <c r="A14" s="42" t="s">
        <v>47</v>
      </c>
      <c r="B14" s="43">
        <f>Modelo!C24</f>
        <v>588.23529411764707</v>
      </c>
      <c r="C14" s="43">
        <f>Modelo!D24</f>
        <v>111.76470588235296</v>
      </c>
      <c r="D14" s="44" t="s">
        <v>133</v>
      </c>
      <c r="E14" s="42">
        <f>SUM(B14:C14)</f>
        <v>700</v>
      </c>
    </row>
    <row r="15" spans="1:5" x14ac:dyDescent="0.3">
      <c r="A15" s="42" t="s">
        <v>48</v>
      </c>
      <c r="B15" s="43">
        <f>Modelo!E24</f>
        <v>0</v>
      </c>
      <c r="C15" s="43">
        <f>Modelo!F24</f>
        <v>171.42857142857144</v>
      </c>
      <c r="D15" s="43">
        <f>Modelo!G24</f>
        <v>428.57142857142856</v>
      </c>
      <c r="E15" s="42">
        <f>SUM(B15:D15)</f>
        <v>600</v>
      </c>
    </row>
    <row r="16" spans="1:5" x14ac:dyDescent="0.3">
      <c r="A16" s="42" t="s">
        <v>49</v>
      </c>
      <c r="B16" s="43">
        <f>Modelo!H24</f>
        <v>0</v>
      </c>
      <c r="C16" s="43">
        <f>Modelo!I24</f>
        <v>350</v>
      </c>
      <c r="D16" s="43">
        <f>Modelo!J24</f>
        <v>0</v>
      </c>
      <c r="E16" s="42">
        <f>SUM(B16:D16)</f>
        <v>350</v>
      </c>
    </row>
    <row r="17" spans="1:5" x14ac:dyDescent="0.3">
      <c r="A17" s="42" t="s">
        <v>50</v>
      </c>
      <c r="B17" s="43">
        <f>Modelo!K24</f>
        <v>0</v>
      </c>
      <c r="C17" s="43">
        <f>Modelo!L24</f>
        <v>108.49339735894344</v>
      </c>
      <c r="D17" s="44" t="s">
        <v>133</v>
      </c>
      <c r="E17" s="42">
        <f>SUM(B17:C17)</f>
        <v>108.49339735894344</v>
      </c>
    </row>
    <row r="19" spans="1:5" x14ac:dyDescent="0.3">
      <c r="A19" s="1" t="s">
        <v>141</v>
      </c>
    </row>
    <row r="20" spans="1:5" x14ac:dyDescent="0.3">
      <c r="A20" s="45" t="s">
        <v>135</v>
      </c>
      <c r="B20" s="45" t="s">
        <v>136</v>
      </c>
      <c r="C20" s="45" t="s">
        <v>134</v>
      </c>
    </row>
    <row r="21" spans="1:5" x14ac:dyDescent="0.3">
      <c r="A21" s="46">
        <f>SUM(SUMPRODUCT(Modelo!C25:D25,Modelo!C24:D24),SUMPRODUCT(Modelo!E25:G25,Modelo!E24:G24),SUMPRODUCT(Modelo!H25:J25,Modelo!H24:J24),SUMPRODUCT(Modelo!K25:L25,Modelo!K24:L24))</f>
        <v>28594.387755102038</v>
      </c>
      <c r="B21" s="46">
        <f>SUMPRODUCT(Modelo!C26:L26,Modelo!C24:L24)</f>
        <v>14859.063625450179</v>
      </c>
      <c r="C21" s="47">
        <f>SUM(A21:B21)</f>
        <v>43453.451380552215</v>
      </c>
    </row>
  </sheetData>
  <mergeCells count="1">
    <mergeCell ref="B12:D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FC8F-540B-4366-B9CE-62ABB6B496AC}">
  <dimension ref="A2:B11"/>
  <sheetViews>
    <sheetView tabSelected="1" workbookViewId="0">
      <selection activeCell="A2" sqref="A2:F11"/>
    </sheetView>
  </sheetViews>
  <sheetFormatPr defaultRowHeight="14.4" x14ac:dyDescent="0.3"/>
  <cols>
    <col min="1" max="1" width="15" customWidth="1"/>
    <col min="2" max="2" width="12.33203125" customWidth="1"/>
  </cols>
  <sheetData>
    <row r="2" spans="1:2" x14ac:dyDescent="0.3">
      <c r="A2" s="1" t="s">
        <v>137</v>
      </c>
    </row>
    <row r="4" spans="1:2" x14ac:dyDescent="0.3">
      <c r="A4" s="48" t="s">
        <v>138</v>
      </c>
      <c r="B4" s="48" t="s">
        <v>139</v>
      </c>
    </row>
    <row r="5" spans="1:2" x14ac:dyDescent="0.3">
      <c r="A5" s="49">
        <v>65</v>
      </c>
      <c r="B5" s="49">
        <v>43547.81</v>
      </c>
    </row>
    <row r="6" spans="1:2" x14ac:dyDescent="0.3">
      <c r="A6" s="49">
        <v>70</v>
      </c>
      <c r="B6" s="49">
        <v>43547.81</v>
      </c>
    </row>
    <row r="7" spans="1:2" x14ac:dyDescent="0.3">
      <c r="A7" s="49">
        <v>75</v>
      </c>
      <c r="B7" s="49">
        <v>43547.81</v>
      </c>
    </row>
    <row r="8" spans="1:2" x14ac:dyDescent="0.3">
      <c r="A8" s="49">
        <v>80</v>
      </c>
      <c r="B8" s="49">
        <v>43453.45</v>
      </c>
    </row>
    <row r="9" spans="1:2" x14ac:dyDescent="0.3">
      <c r="A9" s="49">
        <v>85</v>
      </c>
      <c r="B9" s="49">
        <v>42955.49</v>
      </c>
    </row>
    <row r="10" spans="1:2" x14ac:dyDescent="0.3">
      <c r="A10" s="49">
        <v>90</v>
      </c>
      <c r="B10" s="49">
        <v>41929.199999999997</v>
      </c>
    </row>
    <row r="11" spans="1:2" x14ac:dyDescent="0.3">
      <c r="A11" s="49">
        <v>95</v>
      </c>
      <c r="B11" s="49">
        <v>41000.629999999997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FE922-363D-45A6-BFCC-A4290CF98F4E}">
  <dimension ref="A1:Q37"/>
  <sheetViews>
    <sheetView topLeftCell="A9" workbookViewId="0">
      <selection activeCell="O29" sqref="O29"/>
    </sheetView>
  </sheetViews>
  <sheetFormatPr defaultRowHeight="14.4" x14ac:dyDescent="0.3"/>
  <cols>
    <col min="2" max="2" width="19.77734375" customWidth="1"/>
    <col min="3" max="3" width="16.77734375" bestFit="1" customWidth="1"/>
    <col min="4" max="4" width="13.6640625" customWidth="1"/>
    <col min="5" max="5" width="13.21875" customWidth="1"/>
    <col min="15" max="15" width="13.77734375" customWidth="1"/>
    <col min="16" max="16" width="12.6640625" bestFit="1" customWidth="1"/>
  </cols>
  <sheetData>
    <row r="1" spans="1:5" x14ac:dyDescent="0.3">
      <c r="A1" s="1"/>
      <c r="B1" s="2" t="s">
        <v>43</v>
      </c>
      <c r="C1" s="4"/>
    </row>
    <row r="2" spans="1:5" x14ac:dyDescent="0.3">
      <c r="A2" s="3"/>
      <c r="B2" s="10" t="s">
        <v>47</v>
      </c>
      <c r="C2" s="7" t="s">
        <v>51</v>
      </c>
    </row>
    <row r="3" spans="1:5" x14ac:dyDescent="0.3">
      <c r="A3" s="3"/>
      <c r="B3" s="10" t="s">
        <v>48</v>
      </c>
      <c r="C3" s="7" t="s">
        <v>52</v>
      </c>
    </row>
    <row r="4" spans="1:5" x14ac:dyDescent="0.3">
      <c r="A4" s="3"/>
      <c r="B4" s="10" t="s">
        <v>49</v>
      </c>
      <c r="C4" s="7" t="s">
        <v>53</v>
      </c>
    </row>
    <row r="5" spans="1:5" x14ac:dyDescent="0.3">
      <c r="A5" s="3"/>
      <c r="B5" s="11" t="s">
        <v>50</v>
      </c>
      <c r="C5" s="8" t="s">
        <v>0</v>
      </c>
    </row>
    <row r="6" spans="1:5" x14ac:dyDescent="0.3">
      <c r="A6" s="3"/>
      <c r="B6" s="9" t="s">
        <v>44</v>
      </c>
      <c r="C6" s="5" t="s">
        <v>1</v>
      </c>
    </row>
    <row r="7" spans="1:5" x14ac:dyDescent="0.3">
      <c r="A7" s="3"/>
      <c r="B7" s="9" t="s">
        <v>45</v>
      </c>
      <c r="C7" s="5" t="s">
        <v>2</v>
      </c>
    </row>
    <row r="8" spans="1:5" x14ac:dyDescent="0.3">
      <c r="A8" s="3"/>
      <c r="B8" s="15" t="s">
        <v>46</v>
      </c>
      <c r="C8" s="6" t="s">
        <v>3</v>
      </c>
    </row>
    <row r="10" spans="1:5" ht="43.2" x14ac:dyDescent="0.3">
      <c r="B10" s="24" t="s">
        <v>130</v>
      </c>
      <c r="C10" s="50" t="s">
        <v>77</v>
      </c>
      <c r="D10" s="25" t="s">
        <v>4</v>
      </c>
      <c r="E10" s="25" t="s">
        <v>83</v>
      </c>
    </row>
    <row r="11" spans="1:5" x14ac:dyDescent="0.3">
      <c r="B11" s="20" t="s">
        <v>66</v>
      </c>
      <c r="C11" s="22">
        <v>15</v>
      </c>
      <c r="D11" s="18">
        <v>6.5</v>
      </c>
      <c r="E11" s="30">
        <v>0.85</v>
      </c>
    </row>
    <row r="12" spans="1:5" x14ac:dyDescent="0.3">
      <c r="B12" s="20" t="s">
        <v>78</v>
      </c>
      <c r="C12" s="22">
        <v>15</v>
      </c>
      <c r="D12" s="18">
        <v>11</v>
      </c>
      <c r="E12" s="22">
        <v>0.8</v>
      </c>
    </row>
    <row r="13" spans="1:5" x14ac:dyDescent="0.3">
      <c r="B13" s="20" t="s">
        <v>142</v>
      </c>
      <c r="C13" s="22">
        <v>15</v>
      </c>
      <c r="D13" s="18">
        <v>5</v>
      </c>
      <c r="E13" s="22">
        <v>0.8</v>
      </c>
    </row>
    <row r="14" spans="1:5" x14ac:dyDescent="0.3">
      <c r="B14" s="20" t="s">
        <v>68</v>
      </c>
      <c r="C14" s="22">
        <v>16</v>
      </c>
      <c r="D14" s="18">
        <v>9.75</v>
      </c>
      <c r="E14" s="22">
        <v>0.9</v>
      </c>
    </row>
    <row r="15" spans="1:5" x14ac:dyDescent="0.3">
      <c r="B15" s="20" t="s">
        <v>69</v>
      </c>
      <c r="C15" s="22">
        <v>16</v>
      </c>
      <c r="D15" s="18">
        <v>12.25</v>
      </c>
      <c r="E15" s="22">
        <v>0.8</v>
      </c>
    </row>
    <row r="16" spans="1:5" x14ac:dyDescent="0.3">
      <c r="B16" s="20" t="s">
        <v>70</v>
      </c>
      <c r="C16" s="22">
        <v>16</v>
      </c>
      <c r="D16" s="18">
        <v>9.5</v>
      </c>
      <c r="E16" s="22">
        <v>0.7</v>
      </c>
    </row>
    <row r="17" spans="1:17" x14ac:dyDescent="0.3">
      <c r="B17" s="20" t="s">
        <v>71</v>
      </c>
      <c r="C17" s="22">
        <v>19</v>
      </c>
      <c r="D17" s="18">
        <v>4.75</v>
      </c>
      <c r="E17" s="22">
        <v>0.9</v>
      </c>
    </row>
    <row r="18" spans="1:17" x14ac:dyDescent="0.3">
      <c r="B18" s="20" t="s">
        <v>72</v>
      </c>
      <c r="C18" s="22">
        <v>19</v>
      </c>
      <c r="D18" s="18">
        <v>7.75</v>
      </c>
      <c r="E18" s="22">
        <v>0.85</v>
      </c>
    </row>
    <row r="19" spans="1:17" x14ac:dyDescent="0.3">
      <c r="B19" s="20" t="s">
        <v>73</v>
      </c>
      <c r="C19" s="22">
        <v>19</v>
      </c>
      <c r="D19" s="18">
        <v>8.5</v>
      </c>
      <c r="E19" s="22">
        <v>0.8</v>
      </c>
    </row>
    <row r="20" spans="1:17" x14ac:dyDescent="0.3">
      <c r="B20" s="20" t="s">
        <v>74</v>
      </c>
      <c r="C20" s="22">
        <v>17</v>
      </c>
      <c r="D20" s="18">
        <v>7.5</v>
      </c>
      <c r="E20" s="22">
        <v>0.8</v>
      </c>
    </row>
    <row r="21" spans="1:17" x14ac:dyDescent="0.3">
      <c r="A21" s="3"/>
      <c r="B21" s="20" t="s">
        <v>75</v>
      </c>
      <c r="C21" s="22">
        <v>17</v>
      </c>
      <c r="D21" s="18">
        <v>8.5</v>
      </c>
      <c r="E21" s="22">
        <v>0.7</v>
      </c>
    </row>
    <row r="22" spans="1:17" x14ac:dyDescent="0.3">
      <c r="A22" s="3"/>
      <c r="B22" s="21" t="s">
        <v>143</v>
      </c>
      <c r="C22" s="23">
        <v>17</v>
      </c>
      <c r="D22" s="23">
        <v>7.5</v>
      </c>
      <c r="E22" s="23">
        <v>0.9</v>
      </c>
    </row>
    <row r="24" spans="1:17" x14ac:dyDescent="0.3">
      <c r="B24" s="1" t="s">
        <v>54</v>
      </c>
      <c r="C24" s="16" t="s">
        <v>66</v>
      </c>
      <c r="D24" s="16" t="s">
        <v>67</v>
      </c>
      <c r="E24" s="16" t="s">
        <v>142</v>
      </c>
      <c r="F24" s="16" t="s">
        <v>68</v>
      </c>
      <c r="G24" s="16" t="s">
        <v>69</v>
      </c>
      <c r="H24" s="16" t="s">
        <v>70</v>
      </c>
      <c r="I24" s="16" t="s">
        <v>71</v>
      </c>
      <c r="J24" s="16" t="s">
        <v>72</v>
      </c>
      <c r="K24" s="16" t="s">
        <v>73</v>
      </c>
      <c r="L24" s="16" t="s">
        <v>74</v>
      </c>
      <c r="M24" s="16" t="s">
        <v>75</v>
      </c>
      <c r="N24" s="16" t="s">
        <v>143</v>
      </c>
    </row>
    <row r="25" spans="1:17" x14ac:dyDescent="0.3">
      <c r="B25" s="1"/>
      <c r="C25" s="2" t="s">
        <v>55</v>
      </c>
      <c r="D25" s="2" t="s">
        <v>56</v>
      </c>
      <c r="E25" s="2" t="s">
        <v>144</v>
      </c>
      <c r="F25" s="2" t="s">
        <v>57</v>
      </c>
      <c r="G25" s="2" t="s">
        <v>58</v>
      </c>
      <c r="H25" s="2" t="s">
        <v>59</v>
      </c>
      <c r="I25" s="2" t="s">
        <v>60</v>
      </c>
      <c r="J25" s="2" t="s">
        <v>61</v>
      </c>
      <c r="K25" s="2" t="s">
        <v>62</v>
      </c>
      <c r="L25" s="2" t="s">
        <v>63</v>
      </c>
      <c r="M25" s="2" t="s">
        <v>64</v>
      </c>
      <c r="N25" s="2" t="s">
        <v>145</v>
      </c>
    </row>
    <row r="26" spans="1:17" x14ac:dyDescent="0.3">
      <c r="B26" s="12" t="s">
        <v>65</v>
      </c>
      <c r="C26" s="13">
        <v>588.23529411764707</v>
      </c>
      <c r="D26" s="13">
        <v>111.76470588235293</v>
      </c>
      <c r="E26" s="13">
        <v>0</v>
      </c>
      <c r="F26" s="13">
        <v>0</v>
      </c>
      <c r="G26" s="13">
        <v>266.36029411764702</v>
      </c>
      <c r="H26" s="13">
        <v>0</v>
      </c>
      <c r="I26" s="13">
        <v>0</v>
      </c>
      <c r="J26" s="13">
        <v>350</v>
      </c>
      <c r="K26" s="13">
        <v>0</v>
      </c>
      <c r="L26" s="13">
        <v>0</v>
      </c>
      <c r="M26" s="13">
        <v>0</v>
      </c>
      <c r="N26" s="14">
        <v>333.33333333333337</v>
      </c>
    </row>
    <row r="27" spans="1:17" x14ac:dyDescent="0.3">
      <c r="B27" s="1" t="s">
        <v>76</v>
      </c>
      <c r="C27" cm="1">
        <f t="array" ref="C27:N27">TRANSPOSE(C11:C22)</f>
        <v>15</v>
      </c>
      <c r="D27">
        <v>15</v>
      </c>
      <c r="E27">
        <v>15</v>
      </c>
      <c r="F27">
        <v>16</v>
      </c>
      <c r="G27">
        <v>16</v>
      </c>
      <c r="H27">
        <v>16</v>
      </c>
      <c r="I27">
        <v>19</v>
      </c>
      <c r="J27">
        <v>19</v>
      </c>
      <c r="K27">
        <v>19</v>
      </c>
      <c r="L27">
        <v>17</v>
      </c>
      <c r="M27">
        <v>17</v>
      </c>
      <c r="N27" s="51">
        <v>17</v>
      </c>
    </row>
    <row r="28" spans="1:17" x14ac:dyDescent="0.3">
      <c r="B28" s="1" t="s">
        <v>79</v>
      </c>
      <c r="C28" cm="1">
        <f t="array" ref="C28:N28">TRANSPOSE(D11:D22)</f>
        <v>6.5</v>
      </c>
      <c r="D28">
        <v>11</v>
      </c>
      <c r="E28">
        <v>5</v>
      </c>
      <c r="F28">
        <v>9.75</v>
      </c>
      <c r="G28">
        <v>12.25</v>
      </c>
      <c r="H28">
        <v>9.5</v>
      </c>
      <c r="I28">
        <v>4.75</v>
      </c>
      <c r="J28">
        <v>7.75</v>
      </c>
      <c r="K28">
        <v>8.5</v>
      </c>
      <c r="L28">
        <v>7.5</v>
      </c>
      <c r="M28">
        <v>8.5</v>
      </c>
      <c r="N28" s="3">
        <v>7.5</v>
      </c>
      <c r="O28" s="27">
        <f>SUM(SUMPRODUCT(C27:N27,$C$26:$N$26),SUMPRODUCT(C28:N28,$C$26:$N$26))</f>
        <v>40606.786151960783</v>
      </c>
      <c r="P28" s="1" t="s">
        <v>80</v>
      </c>
      <c r="Q28" s="29" t="s">
        <v>82</v>
      </c>
    </row>
    <row r="30" spans="1:17" x14ac:dyDescent="0.3">
      <c r="B30" s="28" t="s">
        <v>81</v>
      </c>
      <c r="C30" s="26"/>
      <c r="D30" s="26"/>
      <c r="E30" s="26"/>
    </row>
    <row r="31" spans="1:17" x14ac:dyDescent="0.3">
      <c r="B31" s="31" t="s">
        <v>84</v>
      </c>
      <c r="C31" s="17">
        <f>E11</f>
        <v>0.85</v>
      </c>
      <c r="D31" s="17">
        <v>0</v>
      </c>
      <c r="E31" s="17">
        <v>0</v>
      </c>
      <c r="F31" s="17">
        <f>E14</f>
        <v>0.9</v>
      </c>
      <c r="G31" s="17">
        <v>0</v>
      </c>
      <c r="H31" s="17">
        <v>0</v>
      </c>
      <c r="I31" s="17">
        <f>E17</f>
        <v>0.9</v>
      </c>
      <c r="J31" s="17">
        <v>0</v>
      </c>
      <c r="K31" s="17">
        <v>0</v>
      </c>
      <c r="L31" s="17">
        <f>E20</f>
        <v>0.8</v>
      </c>
      <c r="M31" s="17">
        <v>0</v>
      </c>
      <c r="N31" s="52">
        <v>0</v>
      </c>
      <c r="O31" s="32">
        <f>SUMPRODUCT(C31:N31,$C$26:$N$26)</f>
        <v>500</v>
      </c>
      <c r="P31" s="33" t="s">
        <v>92</v>
      </c>
      <c r="Q31" s="34">
        <v>500</v>
      </c>
    </row>
    <row r="32" spans="1:17" x14ac:dyDescent="0.3">
      <c r="B32" s="31" t="s">
        <v>85</v>
      </c>
      <c r="C32" s="17">
        <v>0</v>
      </c>
      <c r="D32" s="17">
        <f>E12</f>
        <v>0.8</v>
      </c>
      <c r="E32" s="17">
        <v>0</v>
      </c>
      <c r="F32" s="17">
        <v>0</v>
      </c>
      <c r="G32" s="17">
        <f>E15</f>
        <v>0.8</v>
      </c>
      <c r="H32" s="17">
        <v>0</v>
      </c>
      <c r="I32" s="17">
        <v>0</v>
      </c>
      <c r="J32" s="17">
        <f>E18</f>
        <v>0.85</v>
      </c>
      <c r="K32" s="17">
        <v>0</v>
      </c>
      <c r="L32" s="17">
        <v>0</v>
      </c>
      <c r="M32" s="17">
        <f>E21</f>
        <v>0.7</v>
      </c>
      <c r="N32" s="52">
        <v>0</v>
      </c>
      <c r="O32" s="32">
        <f t="shared" ref="O32:O33" si="0">SUMPRODUCT(C32:N32,$C$26:$N$26)</f>
        <v>600</v>
      </c>
      <c r="P32" s="33" t="s">
        <v>92</v>
      </c>
      <c r="Q32" s="34">
        <v>600</v>
      </c>
    </row>
    <row r="33" spans="2:17" x14ac:dyDescent="0.3">
      <c r="B33" s="31" t="s">
        <v>86</v>
      </c>
      <c r="C33" s="17">
        <v>0</v>
      </c>
      <c r="D33" s="17">
        <v>0</v>
      </c>
      <c r="E33" s="17">
        <f>E13</f>
        <v>0.8</v>
      </c>
      <c r="F33" s="17">
        <v>0</v>
      </c>
      <c r="G33" s="17">
        <v>0</v>
      </c>
      <c r="H33" s="17">
        <f>E16</f>
        <v>0.7</v>
      </c>
      <c r="I33" s="17">
        <v>0</v>
      </c>
      <c r="J33" s="17">
        <v>0</v>
      </c>
      <c r="K33" s="17">
        <f>E19</f>
        <v>0.8</v>
      </c>
      <c r="L33" s="17">
        <v>0</v>
      </c>
      <c r="M33" s="17">
        <v>0</v>
      </c>
      <c r="N33" s="52">
        <f>E22</f>
        <v>0.9</v>
      </c>
      <c r="O33" s="32">
        <f t="shared" si="0"/>
        <v>300.00000000000006</v>
      </c>
      <c r="P33" s="33" t="s">
        <v>92</v>
      </c>
      <c r="Q33" s="34">
        <v>300</v>
      </c>
    </row>
    <row r="34" spans="2:17" x14ac:dyDescent="0.3">
      <c r="B34" s="31" t="s">
        <v>87</v>
      </c>
      <c r="C34" s="17">
        <v>1</v>
      </c>
      <c r="D34" s="17">
        <v>1</v>
      </c>
      <c r="E34" s="17">
        <v>1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32">
        <f>SUMPRODUCT(C34:N34,$C$26:$N$26)</f>
        <v>700</v>
      </c>
      <c r="P34" s="33" t="s">
        <v>91</v>
      </c>
      <c r="Q34" s="34">
        <v>700</v>
      </c>
    </row>
    <row r="35" spans="2:17" x14ac:dyDescent="0.3">
      <c r="B35" s="31" t="s">
        <v>88</v>
      </c>
      <c r="C35" s="17">
        <v>0</v>
      </c>
      <c r="D35" s="17">
        <v>0</v>
      </c>
      <c r="E35" s="17">
        <v>0</v>
      </c>
      <c r="F35" s="17">
        <v>1</v>
      </c>
      <c r="G35" s="17">
        <v>1</v>
      </c>
      <c r="H35" s="17">
        <v>1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52">
        <v>0</v>
      </c>
      <c r="O35" s="32">
        <f t="shared" ref="O35:O37" si="1">SUMPRODUCT(C35:N35,$C$26:$N$26)</f>
        <v>266.36029411764702</v>
      </c>
      <c r="P35" s="33" t="s">
        <v>91</v>
      </c>
      <c r="Q35" s="34">
        <v>600</v>
      </c>
    </row>
    <row r="36" spans="2:17" x14ac:dyDescent="0.3">
      <c r="B36" s="31" t="s">
        <v>89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1</v>
      </c>
      <c r="J36" s="17">
        <v>1</v>
      </c>
      <c r="K36" s="17">
        <v>1</v>
      </c>
      <c r="L36" s="17">
        <v>0</v>
      </c>
      <c r="M36" s="17">
        <v>0</v>
      </c>
      <c r="N36" s="52">
        <v>0</v>
      </c>
      <c r="O36" s="32">
        <f t="shared" si="1"/>
        <v>350</v>
      </c>
      <c r="P36" s="33" t="s">
        <v>91</v>
      </c>
      <c r="Q36" s="34">
        <v>350</v>
      </c>
    </row>
    <row r="37" spans="2:17" x14ac:dyDescent="0.3">
      <c r="B37" s="31" t="s">
        <v>90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1</v>
      </c>
      <c r="M37" s="17">
        <v>1</v>
      </c>
      <c r="N37" s="52">
        <v>1</v>
      </c>
      <c r="O37" s="32">
        <f t="shared" si="1"/>
        <v>333.33333333333337</v>
      </c>
      <c r="P37" s="33" t="s">
        <v>91</v>
      </c>
      <c r="Q37" s="34">
        <v>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A0EC-C4AF-4D10-A18E-723948AE37B5}">
  <dimension ref="A2:E21"/>
  <sheetViews>
    <sheetView workbookViewId="0">
      <selection activeCell="B26" sqref="B26"/>
    </sheetView>
  </sheetViews>
  <sheetFormatPr defaultRowHeight="14.4" x14ac:dyDescent="0.3"/>
  <cols>
    <col min="1" max="1" width="22.109375" customWidth="1"/>
    <col min="2" max="2" width="19.44140625" customWidth="1"/>
    <col min="3" max="3" width="18.5546875" customWidth="1"/>
  </cols>
  <sheetData>
    <row r="2" spans="1:5" x14ac:dyDescent="0.3">
      <c r="A2" s="2" t="s">
        <v>43</v>
      </c>
      <c r="B2" s="4"/>
    </row>
    <row r="3" spans="1:5" x14ac:dyDescent="0.3">
      <c r="A3" s="10" t="s">
        <v>47</v>
      </c>
      <c r="B3" s="40" t="s">
        <v>51</v>
      </c>
    </row>
    <row r="4" spans="1:5" x14ac:dyDescent="0.3">
      <c r="A4" s="10" t="s">
        <v>48</v>
      </c>
      <c r="B4" s="7" t="s">
        <v>52</v>
      </c>
    </row>
    <row r="5" spans="1:5" x14ac:dyDescent="0.3">
      <c r="A5" s="10" t="s">
        <v>49</v>
      </c>
      <c r="B5" s="7" t="s">
        <v>53</v>
      </c>
    </row>
    <row r="6" spans="1:5" x14ac:dyDescent="0.3">
      <c r="A6" s="11" t="s">
        <v>50</v>
      </c>
      <c r="B6" s="8" t="s">
        <v>0</v>
      </c>
    </row>
    <row r="7" spans="1:5" x14ac:dyDescent="0.3">
      <c r="A7" s="9" t="s">
        <v>44</v>
      </c>
      <c r="B7" s="5" t="s">
        <v>1</v>
      </c>
    </row>
    <row r="8" spans="1:5" x14ac:dyDescent="0.3">
      <c r="A8" s="9" t="s">
        <v>45</v>
      </c>
      <c r="B8" s="5" t="s">
        <v>2</v>
      </c>
      <c r="D8" s="1"/>
    </row>
    <row r="9" spans="1:5" x14ac:dyDescent="0.3">
      <c r="A9" s="15" t="s">
        <v>46</v>
      </c>
      <c r="B9" s="6" t="s">
        <v>3</v>
      </c>
    </row>
    <row r="11" spans="1:5" x14ac:dyDescent="0.3">
      <c r="A11" s="1" t="s">
        <v>140</v>
      </c>
    </row>
    <row r="12" spans="1:5" x14ac:dyDescent="0.3">
      <c r="B12" s="53" t="s">
        <v>132</v>
      </c>
      <c r="C12" s="53"/>
      <c r="D12" s="53"/>
    </row>
    <row r="13" spans="1:5" x14ac:dyDescent="0.3">
      <c r="A13" s="41" t="s">
        <v>131</v>
      </c>
      <c r="B13" s="42" t="s">
        <v>44</v>
      </c>
      <c r="C13" s="42" t="s">
        <v>45</v>
      </c>
      <c r="D13" s="42" t="s">
        <v>46</v>
      </c>
      <c r="E13" s="41" t="s">
        <v>134</v>
      </c>
    </row>
    <row r="14" spans="1:5" x14ac:dyDescent="0.3">
      <c r="A14" s="42" t="s">
        <v>47</v>
      </c>
      <c r="B14" s="43">
        <f>'Proposta de alteração'!C26</f>
        <v>588.23529411764707</v>
      </c>
      <c r="C14" s="43">
        <f>'Proposta de alteração'!D26</f>
        <v>111.76470588235293</v>
      </c>
      <c r="D14" s="43">
        <f>'Proposta de alteração'!E26</f>
        <v>0</v>
      </c>
      <c r="E14" s="42">
        <f>SUM(B14:D14)</f>
        <v>700</v>
      </c>
    </row>
    <row r="15" spans="1:5" x14ac:dyDescent="0.3">
      <c r="A15" s="42" t="s">
        <v>48</v>
      </c>
      <c r="B15" s="43">
        <f>'Proposta de alteração'!F26</f>
        <v>0</v>
      </c>
      <c r="C15" s="43">
        <f>'Proposta de alteração'!G26</f>
        <v>266.36029411764702</v>
      </c>
      <c r="D15" s="43">
        <f>'Proposta de alteração'!H26</f>
        <v>0</v>
      </c>
      <c r="E15" s="42">
        <f>SUM(B15:D15)</f>
        <v>266.36029411764702</v>
      </c>
    </row>
    <row r="16" spans="1:5" x14ac:dyDescent="0.3">
      <c r="A16" s="42" t="s">
        <v>49</v>
      </c>
      <c r="B16" s="43">
        <f>'Proposta de alteração'!I26</f>
        <v>0</v>
      </c>
      <c r="C16" s="43">
        <f>'Proposta de alteração'!J26</f>
        <v>350</v>
      </c>
      <c r="D16" s="43">
        <f>'Proposta de alteração'!K26</f>
        <v>0</v>
      </c>
      <c r="E16" s="42">
        <f>SUM(B16:D16)</f>
        <v>350</v>
      </c>
    </row>
    <row r="17" spans="1:5" x14ac:dyDescent="0.3">
      <c r="A17" s="42" t="s">
        <v>50</v>
      </c>
      <c r="B17" s="43">
        <f>'Proposta de alteração'!L26</f>
        <v>0</v>
      </c>
      <c r="C17" s="43">
        <f>'Proposta de alteração'!M26</f>
        <v>0</v>
      </c>
      <c r="D17" s="43">
        <f>'Proposta de alteração'!N26</f>
        <v>333.33333333333337</v>
      </c>
      <c r="E17" s="42">
        <f>SUM(B17:D17)</f>
        <v>333.33333333333337</v>
      </c>
    </row>
    <row r="19" spans="1:5" x14ac:dyDescent="0.3">
      <c r="A19" s="1" t="s">
        <v>141</v>
      </c>
    </row>
    <row r="20" spans="1:5" x14ac:dyDescent="0.3">
      <c r="A20" s="45" t="s">
        <v>135</v>
      </c>
      <c r="B20" s="45" t="s">
        <v>136</v>
      </c>
      <c r="C20" s="45" t="s">
        <v>134</v>
      </c>
    </row>
    <row r="21" spans="1:5" x14ac:dyDescent="0.3">
      <c r="A21" s="46">
        <f>SUM(SUMPRODUCT('Proposta de alteração'!C27:E27,'Proposta de alteração'!C26:E26),SUMPRODUCT('Proposta de alteração'!F27:H27,'Proposta de alteração'!F26:H26),SUMPRODUCT('Proposta de alteração'!I27:K27,'Proposta de alteração'!I26:K26),SUMPRODUCT('Proposta de alteração'!L27:N27,'Proposta de alteração'!L26:N26))</f>
        <v>27078.431372549021</v>
      </c>
      <c r="B21" s="46">
        <f>SUMPRODUCT('Proposta de alteração'!C28:N28,'Proposta de alteração'!C26:N26)</f>
        <v>13528.354779411764</v>
      </c>
      <c r="C21" s="47">
        <f>SUM(A21:B21)</f>
        <v>40606.786151960783</v>
      </c>
    </row>
  </sheetData>
  <mergeCells count="1"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Relatório de Resposta</vt:lpstr>
      <vt:lpstr>Relatório de Sensibilidade</vt:lpstr>
      <vt:lpstr>Modelo</vt:lpstr>
      <vt:lpstr>Detalhes sobre o plano ótimo</vt:lpstr>
      <vt:lpstr>Estudo de rendimento </vt:lpstr>
      <vt:lpstr>Proposta de alteração</vt:lpstr>
      <vt:lpstr>Plano ótimo da alteração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Carolina Brunheta</cp:lastModifiedBy>
  <dcterms:created xsi:type="dcterms:W3CDTF">2023-05-06T15:41:34Z</dcterms:created>
  <dcterms:modified xsi:type="dcterms:W3CDTF">2023-05-22T18:48:35Z</dcterms:modified>
</cp:coreProperties>
</file>